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60_40 (final)" sheetId="1" r:id="rId4"/>
    <sheet state="visible" name="For 30_20 (Final)" sheetId="2" r:id="rId5"/>
  </sheets>
  <definedNames/>
  <calcPr/>
  <extLst>
    <ext uri="GoogleSheetsCustomDataVersion2">
      <go:sheetsCustomData xmlns:go="http://customooxmlschemas.google.com/" r:id="rId6" roundtripDataChecksum="DYWMb4fdAHK/O8AV8BELWr04IYrVbBgluRV0p0YIy1I="/>
    </ext>
  </extLst>
</workbook>
</file>

<file path=xl/sharedStrings.xml><?xml version="1.0" encoding="utf-8"?>
<sst xmlns="http://schemas.openxmlformats.org/spreadsheetml/2006/main" count="349" uniqueCount="178">
  <si>
    <t>PRIYADARSHINI COLLEGE OF ENGINEERING , NAGPUR</t>
  </si>
  <si>
    <t>An Autonomous Institution</t>
  </si>
  <si>
    <t>CO Attainment Value for various Assessment tools</t>
  </si>
  <si>
    <t>Branch:</t>
  </si>
  <si>
    <t>CSE</t>
  </si>
  <si>
    <t>Year / Semester :3rd yr/5th sem</t>
  </si>
  <si>
    <t>IInd / IIIrd</t>
  </si>
  <si>
    <t>Co Attainment value</t>
  </si>
  <si>
    <t>CO1</t>
  </si>
  <si>
    <t>CO2</t>
  </si>
  <si>
    <t>Year / Semester :</t>
  </si>
  <si>
    <t>CO3</t>
  </si>
  <si>
    <t>CO4</t>
  </si>
  <si>
    <t>CO5</t>
  </si>
  <si>
    <t>CO6</t>
  </si>
  <si>
    <t>Subject :</t>
  </si>
  <si>
    <t>IDS</t>
  </si>
  <si>
    <t>Mid Term-1</t>
  </si>
  <si>
    <t>Instructions :</t>
  </si>
  <si>
    <t xml:space="preserve">Course Code : </t>
  </si>
  <si>
    <t>25UCS623T</t>
  </si>
  <si>
    <t>Year of Study : 2025-26</t>
  </si>
  <si>
    <t>Mid Term-2</t>
  </si>
  <si>
    <t>1. For overall attainment value of each COs, 40% of Internal and 60% Endsem Assessment value is considered.</t>
  </si>
  <si>
    <t>Direct CO Attainment</t>
  </si>
  <si>
    <t>Teacher Assessment</t>
  </si>
  <si>
    <t xml:space="preserve">Year of Study : </t>
  </si>
  <si>
    <t>2. For the calculation of each COs, It is considered that 
(i) The attainment value is 3, if 55% or above students of the class scored 45% or more CO% value
(ii) The attainment value is 2, if more than 45% and below 55%  students of the class scored 45% or more CO% value
(iii) otherwise the attainment value is 1</t>
  </si>
  <si>
    <t xml:space="preserve">Endsem Exam </t>
  </si>
  <si>
    <r>
      <rPr>
        <rFont val="Arial"/>
        <color theme="1"/>
        <sz val="12.0"/>
      </rPr>
      <t xml:space="preserve">3. Enter Roll No., Student's Name, Activity marks, Teacher Assessment marks and CO wise marks of Mid Term-I, Mid Term-II  for Internal Attainment value. </t>
    </r>
    <r>
      <rPr>
        <rFont val="Arial"/>
        <color rgb="FFFF0000"/>
        <sz val="12.0"/>
      </rPr>
      <t>(Use '0' for Absent students instead of AB)</t>
    </r>
  </si>
  <si>
    <t>Overall CO Attainment Value (40% (IAM)+60%(ESAM))</t>
  </si>
  <si>
    <r>
      <rPr>
        <rFont val="Arial"/>
        <color theme="1"/>
        <sz val="12.0"/>
      </rPr>
      <t xml:space="preserve">3. Enter Roll No., Student's Name, Teacher Assessment marks and CO wise marks of Mid Term-I, Mid Term-II  for Internal Attainment value. </t>
    </r>
    <r>
      <rPr>
        <rFont val="Arial"/>
        <color rgb="FFFF0000"/>
        <sz val="12.0"/>
      </rPr>
      <t>(Use '0' for Absent students instead of AB)</t>
    </r>
  </si>
  <si>
    <t>Average of all Assessment</t>
  </si>
  <si>
    <t>4. Enter CO wise Endsem marks (out of 30) for Endsem Assessment value.</t>
  </si>
  <si>
    <t>4. Enter CO wise Endsem marks (out of 30/60) for Endsem Assessment value.</t>
  </si>
  <si>
    <t xml:space="preserve">Rubrics for attainment </t>
  </si>
  <si>
    <t>Attainment Value</t>
  </si>
  <si>
    <t>Final CO Attainment (80% Direct + 20% Indirect )</t>
  </si>
  <si>
    <t>5. Enter CO-PO mapping in the table of Final value of PO &amp; PSO attainment to get attainment</t>
  </si>
  <si>
    <t>More than or equal to  55% students scoring more than or equal to threshold value (45%)</t>
  </si>
  <si>
    <t>More than or equal to 45% and below 55% students scoring more than or equal to threshold value (45%)</t>
  </si>
  <si>
    <t>Direct CO Attainment Value (40% (IAM)+60%(ESAM))</t>
  </si>
  <si>
    <t>More than or equal to 45% and below55% students scoring more than or equal to threshold value (45%)</t>
  </si>
  <si>
    <t>Below 45% students scoring more than or equal to threshold value (45%)</t>
  </si>
  <si>
    <t>Indirect CO Attainment</t>
  </si>
  <si>
    <t>MARKS DISTRIBUTION OF COs IN VARIOUS ASSESSMENT METHODS</t>
  </si>
  <si>
    <t>Final Value of PO  and PSO Attainment</t>
  </si>
  <si>
    <t>Internal Direct Assessment Method</t>
  </si>
  <si>
    <t>Course Outcomes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</si>
  <si>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</si>
  <si>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</si>
  <si>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</si>
  <si>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</si>
  <si>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</si>
  <si>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</si>
  <si>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</si>
  <si>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</si>
  <si>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</si>
  <si>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</si>
  <si>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</si>
  <si>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</si>
  <si>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 1</t>
  </si>
  <si>
    <t>PSO 2</t>
  </si>
  <si>
    <t>TOTAL</t>
  </si>
  <si>
    <t>Target for CO Attainment</t>
  </si>
  <si>
    <t>Threshold Value</t>
  </si>
  <si>
    <t xml:space="preserve">Rubrics for Attainment </t>
  </si>
  <si>
    <t>Min</t>
  </si>
  <si>
    <t>Max</t>
  </si>
  <si>
    <t>Att. Value</t>
  </si>
  <si>
    <t>Endsem Direct Assessment Method</t>
  </si>
  <si>
    <t xml:space="preserve"> PO Attainment Value using final CO att (80%dir + 20%indir)</t>
  </si>
  <si>
    <t>Endsem Exam</t>
  </si>
  <si>
    <t>Marks of Students Scored in Various Assessment Methods</t>
  </si>
  <si>
    <t>40 Internal +60 ESE</t>
  </si>
  <si>
    <t>Overall Attainment Value</t>
  </si>
  <si>
    <t>Roll No.</t>
  </si>
  <si>
    <t>Name of Student</t>
  </si>
  <si>
    <t>Mid Term-I</t>
  </si>
  <si>
    <t>Mid Term-II</t>
  </si>
  <si>
    <t xml:space="preserve">Total </t>
  </si>
  <si>
    <t>% Attainment of each Cos</t>
  </si>
  <si>
    <t>Total</t>
  </si>
  <si>
    <t>Result %</t>
  </si>
  <si>
    <t>CO1%</t>
  </si>
  <si>
    <t>CO2%</t>
  </si>
  <si>
    <t>CO3%</t>
  </si>
  <si>
    <t>CO4%</t>
  </si>
  <si>
    <t>CO5%</t>
  </si>
  <si>
    <t>CO6%</t>
  </si>
  <si>
    <t>BHAIRAVI SANJAY BHENDARKAR</t>
  </si>
  <si>
    <t>RUTUJA DINESH BUDHBAWARE</t>
  </si>
  <si>
    <t>GUNJAN RAJU CHATARE</t>
  </si>
  <si>
    <t>BHUMIKA RAJU DEOGIRKAR</t>
  </si>
  <si>
    <t>PRAGATI GANGADHAR DESHKAR</t>
  </si>
  <si>
    <t>SWARA DHARMENDRA GAIKWAD</t>
  </si>
  <si>
    <t>DISHA SANJAY NINAWE</t>
  </si>
  <si>
    <t>MAMTA MANOHAR NIPANE</t>
  </si>
  <si>
    <t>PRANJAL VIJAY TELMASRE</t>
  </si>
  <si>
    <t>DAMINI VITHHAL RAUT</t>
  </si>
  <si>
    <t>SHRADDHA VILAS SHRIKHANDE</t>
  </si>
  <si>
    <t>MAITHILI KAILASH THAKARE</t>
  </si>
  <si>
    <t>RASHI RAKESH YADAV</t>
  </si>
  <si>
    <t>HUTESHWARI NARENDRA ZALKE</t>
  </si>
  <si>
    <t>ADITYA JITENDRA AWARI</t>
  </si>
  <si>
    <t>KARAN PANKAJ NAWALE</t>
  </si>
  <si>
    <t>GAURAV SHANKAR NIKHARE</t>
  </si>
  <si>
    <t>RITIK MININATH PANGHATE</t>
  </si>
  <si>
    <t>GAURAV VIKAS RATHOD</t>
  </si>
  <si>
    <t>LACKY RAJESH RATHOD</t>
  </si>
  <si>
    <t>MAHESH SURESH RATHOD</t>
  </si>
  <si>
    <t>TANMAY DIGAMBAR SATDEVE</t>
  </si>
  <si>
    <t>ANIRUDHA RAJU THAWARI</t>
  </si>
  <si>
    <t>HARSH PRADEEP VINCHURKAR</t>
  </si>
  <si>
    <t>RIDDHI UMESH DAWANDE</t>
  </si>
  <si>
    <t>NIRUTI NATTHU KHODE</t>
  </si>
  <si>
    <t>RIYA NARENDRA SAHARE</t>
  </si>
  <si>
    <t>TANISHA SUNIL KARMARKAR</t>
  </si>
  <si>
    <t>VANSHIKA DILIP WAKODIKAR</t>
  </si>
  <si>
    <t>ARYAN SUNIL WAGHMARE</t>
  </si>
  <si>
    <t>ATTADIP VIDYANAND FULZELE</t>
  </si>
  <si>
    <t>PIYUSH GAUTAM GHARADE</t>
  </si>
  <si>
    <t>SANKALP VILAS HOLGILWAR</t>
  </si>
  <si>
    <t>MIHIR DHEERAJ KARANDE</t>
  </si>
  <si>
    <t>SACHIN SUNIL SAH</t>
  </si>
  <si>
    <t>VAIBHAV SANTOSH SANGEWAR</t>
  </si>
  <si>
    <t>PRANAY NITIN SAUDAGAR</t>
  </si>
  <si>
    <t>YASH SUDHAKAR PANCHABUDHE</t>
  </si>
  <si>
    <t>DHANASHREE NILESH BHOYAR</t>
  </si>
  <si>
    <t>KRUTIKA PRADEEP BRAHMANKAR</t>
  </si>
  <si>
    <t>AKANSHA SHIVSHANKAR CHOUDHARY</t>
  </si>
  <si>
    <t>PRANJALI PRAMOD FULLUKE</t>
  </si>
  <si>
    <t>MANSI PRAVIN KAHATE</t>
  </si>
  <si>
    <t>TANUSHREE RAJESH KOTAMKAR</t>
  </si>
  <si>
    <t>GAURI SUBHASH KSHIRSAGAR</t>
  </si>
  <si>
    <t>MANSI MADHUSUDAN SATHAWANE</t>
  </si>
  <si>
    <t>CHANDA SIKANDAR MISHRA</t>
  </si>
  <si>
    <t>AKANKSHA CHANDRASHEKHAR PATIL</t>
  </si>
  <si>
    <t>RUCHITA MAHENDRA SAWARKAR</t>
  </si>
  <si>
    <t>TA</t>
  </si>
  <si>
    <t>Total number of students</t>
  </si>
  <si>
    <t>JANVI YADAV SONWANE</t>
  </si>
  <si>
    <t>Total Strength</t>
  </si>
  <si>
    <t>SHRUTIKA SANTOSH TIWARI</t>
  </si>
  <si>
    <t>Number of Students Attained</t>
  </si>
  <si>
    <t>ARYAN ABHAY DESHMUKH</t>
  </si>
  <si>
    <t>ABHIT RAJESH AWALE</t>
  </si>
  <si>
    <t>Student Attained &gt;=Threshold Value</t>
  </si>
  <si>
    <t>PRAJWAL SURYABHAN AWARI</t>
  </si>
  <si>
    <t>Attainment %</t>
  </si>
  <si>
    <t>PRANAV ARVIND BHIWAPURKAR</t>
  </si>
  <si>
    <t>DEWANG CHITTRANJAN BHOYAR</t>
  </si>
  <si>
    <t>Attainment of COs in various exam</t>
  </si>
  <si>
    <t>PRATHAMESH SURENDRA CHANDEAKR</t>
  </si>
  <si>
    <t>SUJITKUMAR DEVICHAND CHAVHAN</t>
  </si>
  <si>
    <t>KARTIK VIJAY DHARNE</t>
  </si>
  <si>
    <t>SHREYASH PRALHAD DHOTE</t>
  </si>
  <si>
    <t>SHIVAM AMOL DOYE</t>
  </si>
  <si>
    <t>AYUSH KISHOR GOTMARE</t>
  </si>
  <si>
    <t>SHUBHAM LAXMANRAO GUNDE</t>
  </si>
  <si>
    <t>SUMIT SURESH HELONDE</t>
  </si>
  <si>
    <t>HARSH BHASKAR HULKE</t>
  </si>
  <si>
    <t>JEET SATISH LAMBAT</t>
  </si>
  <si>
    <t>PRITAM SHRAVAN JIVTODE</t>
  </si>
  <si>
    <t>VIVEK DHANENDRA KATRE</t>
  </si>
  <si>
    <t>PARTH BANDU KHANDALE</t>
  </si>
  <si>
    <t>KALPESH GOPALKRUSHNA KUKADE</t>
  </si>
  <si>
    <t>YASH TANA LANDGE</t>
  </si>
  <si>
    <t>PRATHAM ARUN LIKHAR</t>
  </si>
  <si>
    <t>ANARV ANIL MOHALE</t>
  </si>
  <si>
    <t>SHREYASH NARESH PARDHI</t>
  </si>
  <si>
    <t>DEVESHWAR GAJANAN RAHANGDALE RAHANGDALE</t>
  </si>
  <si>
    <t>PAWAN KAMLAKAR RAKHUNDE</t>
  </si>
  <si>
    <t>ARMAN SALAM SHEIKH</t>
  </si>
  <si>
    <t>SAJID RAJIQUE SHEIKH</t>
  </si>
  <si>
    <t>VICKY PRALHAD TELASE</t>
  </si>
  <si>
    <t>YUGAL MILIND THAWRE</t>
  </si>
  <si>
    <t>OM SURESH VINCHURKAR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</si>
</sst>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_ "/>
    <numFmt numFmtId="165" formatCode="0.0000%"/>
    <numFmt numFmtId="166" formatCode="0.0000"/>
  </numFmts>
  <fonts count="29">
    <font>
      <sz val="11.0"/>
      <color rgb="FF000000"/>
      <name val="Calibri"/>
      <scheme val="minor"/>
    </font>
    <font>
      <b/>
      <sz val="16.0"/>
      <color rgb="FF00000A"/>
      <name val="Times New Roman"/>
    </font>
    <font>
      <sz val="10.0"/>
      <color theme="1"/>
      <name val="Arial"/>
    </font>
    <font>
      <b/>
      <sz val="14.0"/>
      <color rgb="FF00000A"/>
      <name val="Times New Roman"/>
    </font>
    <font>
      <b/>
      <sz val="12.0"/>
      <color theme="1"/>
      <name val="Arial"/>
    </font>
    <font>
      <b/>
      <sz val="10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/>
    <font>
      <sz val="11.0"/>
      <color rgb="FF000000"/>
      <name val="Calibri"/>
    </font>
    <font>
      <b/>
      <sz val="11.0"/>
      <color rgb="FF000000"/>
      <name val="Arial"/>
    </font>
    <font>
      <sz val="9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'Times New Roman'"/>
    </font>
    <font>
      <color theme="1"/>
      <name val="Calibri"/>
      <scheme val="minor"/>
    </font>
    <font>
      <b/>
      <sz val="11.0"/>
      <color rgb="FF000000"/>
      <name val="'Times New Roman'"/>
    </font>
    <font>
      <sz val="10.0"/>
      <color rgb="FFFF0000"/>
      <name val="Arial"/>
    </font>
    <font>
      <b/>
      <sz val="11.0"/>
      <color rgb="FF000000"/>
      <name val="Calibri"/>
    </font>
    <font>
      <b/>
      <sz val="9.0"/>
      <color rgb="FF000000"/>
      <name val="Calibri"/>
    </font>
    <font>
      <b/>
      <color rgb="FF000000"/>
      <name val="Arial"/>
    </font>
    <font>
      <sz val="9.0"/>
      <color rgb="FF000000"/>
      <name val="Arial"/>
    </font>
    <font>
      <b/>
      <sz val="8.0"/>
      <color rgb="FF000000"/>
      <name val="Times New Roman"/>
    </font>
    <font>
      <sz val="10.0"/>
      <color rgb="FF000000"/>
      <name val="Times New Roman"/>
    </font>
    <font>
      <sz val="9.0"/>
      <color theme="1"/>
      <name val="Calibri"/>
    </font>
    <font>
      <sz val="11.0"/>
      <color theme="1"/>
      <name val="Calibri"/>
    </font>
    <font>
      <sz val="10.0"/>
      <color rgb="FFFF420E"/>
      <name val="Arial"/>
    </font>
    <font>
      <b/>
      <sz val="10.0"/>
      <color rgb="FFFF0000"/>
      <name val="Arial"/>
    </font>
    <font>
      <b/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FBCFFB"/>
        <bgColor rgb="FFFBCFFB"/>
      </patternFill>
    </fill>
    <fill>
      <patternFill patternType="solid">
        <fgColor rgb="FFF8CBAD"/>
        <bgColor rgb="FFF8CBAD"/>
      </patternFill>
    </fill>
    <fill>
      <patternFill patternType="solid">
        <fgColor rgb="FFED7D31"/>
        <bgColor rgb="FFED7D31"/>
      </patternFill>
    </fill>
    <fill>
      <patternFill patternType="solid">
        <fgColor rgb="FFE2F0D9"/>
        <bgColor rgb="FFE2F0D9"/>
      </patternFill>
    </fill>
    <fill>
      <patternFill patternType="solid">
        <fgColor rgb="FFF7CBAC"/>
        <bgColor rgb="FFF7CBAC"/>
      </patternFill>
    </fill>
    <fill>
      <patternFill patternType="solid">
        <fgColor theme="5"/>
        <bgColor theme="5"/>
      </patternFill>
    </fill>
    <fill>
      <patternFill patternType="solid">
        <fgColor rgb="FF99FFFF"/>
        <bgColor rgb="FF99FFFF"/>
      </patternFill>
    </fill>
    <fill>
      <patternFill patternType="solid">
        <fgColor rgb="FF66FF99"/>
        <bgColor rgb="FF66FF99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FFCC99"/>
        <bgColor rgb="FFFFCC99"/>
      </patternFill>
    </fill>
    <fill>
      <patternFill patternType="solid">
        <fgColor rgb="FFC5E0B4"/>
        <bgColor rgb="FFC5E0B4"/>
      </patternFill>
    </fill>
    <fill>
      <patternFill patternType="solid">
        <fgColor rgb="FFFF6600"/>
        <bgColor rgb="FFFF6600"/>
      </patternFill>
    </fill>
    <fill>
      <patternFill patternType="solid">
        <fgColor rgb="FFCFE7F5"/>
        <bgColor rgb="FFCFE7F5"/>
      </patternFill>
    </fill>
    <fill>
      <patternFill patternType="solid">
        <fgColor rgb="FFCCFFFF"/>
        <bgColor rgb="FFCCFFFF"/>
      </patternFill>
    </fill>
    <fill>
      <patternFill patternType="solid">
        <fgColor rgb="FFFFC000"/>
        <bgColor rgb="FFFFC0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1" fillId="2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2" fillId="3" fontId="6" numFmtId="0" xfId="0" applyAlignment="1" applyBorder="1" applyFill="1" applyFont="1">
      <alignment vertical="center"/>
    </xf>
    <xf borderId="2" fillId="3" fontId="6" numFmtId="0" xfId="0" applyAlignment="1" applyBorder="1" applyFill="1" applyFont="1">
      <alignment vertical="bottom"/>
    </xf>
    <xf borderId="0" fillId="0" fontId="5" numFmtId="0" xfId="0" applyAlignment="1" applyFont="1">
      <alignment horizontal="center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4" fillId="0" fontId="8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2" fillId="3" fontId="7" numFmtId="0" xfId="0" applyAlignment="1" applyBorder="1" applyFill="1" applyFont="1">
      <alignment horizontal="left"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8" fillId="4" fontId="2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10" fillId="5" fontId="5" numFmtId="0" xfId="0" applyAlignment="1" applyBorder="1" applyFill="1" applyFont="1">
      <alignment horizontal="center" shrinkToFit="0" vertical="center" wrapText="1"/>
    </xf>
    <xf borderId="11" fillId="5" fontId="5" numFmtId="0" xfId="0" applyAlignment="1" applyBorder="1" applyFill="1" applyFont="1">
      <alignment horizontal="center" shrinkToFit="0" vertical="center" wrapText="1"/>
    </xf>
    <xf borderId="12" fillId="5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8" fillId="6" fontId="5" numFmtId="0" xfId="0" applyAlignment="1" applyBorder="1" applyFill="1" applyFont="1">
      <alignment horizontal="center" shrinkToFit="0" vertical="center" wrapText="1"/>
    </xf>
    <xf borderId="8" fillId="6" fontId="5" numFmtId="164" xfId="0" applyAlignment="1" applyBorder="1" applyFill="1" applyFont="1" applyNumberFormat="1">
      <alignment horizontal="center" vertical="center"/>
    </xf>
    <xf borderId="1" fillId="6" fontId="5" numFmtId="164" xfId="0" applyAlignment="1" applyBorder="1" applyFill="1" applyFont="1" applyNumberFormat="1">
      <alignment horizontal="center" vertical="center"/>
    </xf>
    <xf borderId="3" fillId="7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7" numFmtId="0" xfId="0" applyAlignment="1" applyFont="1">
      <alignment horizontal="left" shrinkToFit="0" vertical="center" wrapText="1"/>
    </xf>
    <xf borderId="0" fillId="0" fontId="9" numFmtId="0" xfId="0" applyAlignment="1" applyFont="1">
      <alignment vertical="center"/>
    </xf>
    <xf borderId="1" fillId="8" fontId="9" numFmtId="0" xfId="0" applyAlignment="1" applyBorder="1" applyFill="1" applyFont="1">
      <alignment shrinkToFit="0" vertical="center" wrapText="1"/>
    </xf>
    <xf borderId="1" fillId="8" fontId="9" numFmtId="0" xfId="0" applyAlignment="1" applyBorder="1" applyFill="1" applyFont="1">
      <alignment horizontal="center" vertical="center"/>
    </xf>
    <xf borderId="9" fillId="8" fontId="9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6" numFmtId="0" xfId="0" applyAlignment="1" applyFont="1">
      <alignment horizontal="left" vertical="bottom"/>
    </xf>
    <xf borderId="0" fillId="0" fontId="10" numFmtId="0" xfId="0" applyAlignment="1" applyFont="1">
      <alignment horizontal="left" vertical="center"/>
    </xf>
    <xf borderId="1" fillId="9" fontId="11" numFmtId="0" xfId="0" applyAlignment="1" applyBorder="1" applyFill="1" applyFont="1">
      <alignment horizontal="left" shrinkToFit="0" vertical="center" wrapText="1"/>
    </xf>
    <xf borderId="1" fillId="9" fontId="9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9" fillId="9" fontId="9" numFmtId="0" xfId="0" applyAlignment="1" applyBorder="1" applyFill="1" applyFont="1">
      <alignment horizontal="center" vertical="center"/>
    </xf>
    <xf borderId="1" fillId="9" fontId="9" numFmtId="0" xfId="0" applyAlignment="1" applyBorder="1" applyFill="1" applyFont="1">
      <alignment horizontal="left" shrinkToFit="0" vertical="center" wrapText="1"/>
    </xf>
    <xf borderId="6" fillId="10" fontId="5" numFmtId="0" xfId="0" applyAlignment="1" applyBorder="1" applyFill="1" applyFont="1">
      <alignment horizontal="center" shrinkToFit="0" vertical="center" wrapText="1"/>
    </xf>
    <xf borderId="3" fillId="10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0" fillId="0" fontId="12" numFmtId="0" xfId="0" applyAlignment="1" applyFont="1">
      <alignment horizontal="left" shrinkToFit="0" vertical="center" wrapText="1"/>
    </xf>
    <xf borderId="1" fillId="11" fontId="2" numFmtId="0" xfId="0" applyAlignment="1" applyBorder="1" applyFill="1" applyFont="1">
      <alignment horizontal="center" vertical="center"/>
    </xf>
    <xf borderId="1" fillId="11" fontId="9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vertical="center"/>
    </xf>
    <xf borderId="1" fillId="10" fontId="2" numFmtId="0" xfId="0" applyAlignment="1" applyBorder="1" applyFill="1" applyFont="1">
      <alignment horizontal="center" vertical="bottom"/>
    </xf>
    <xf borderId="0" fillId="0" fontId="12" numFmtId="0" xfId="0" applyAlignment="1" applyFont="1">
      <alignment shrinkToFit="0" vertical="center" wrapText="1"/>
    </xf>
    <xf borderId="1" fillId="0" fontId="12" numFmtId="0" xfId="0" applyAlignment="1" applyBorder="1" applyFont="1">
      <alignment horizontal="center" vertical="center"/>
    </xf>
    <xf borderId="13" fillId="11" fontId="9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4" fillId="11" fontId="9" numFmtId="0" xfId="0" applyAlignment="1" applyBorder="1" applyFill="1" applyFont="1">
      <alignment horizontal="center" vertical="center"/>
    </xf>
    <xf borderId="1" fillId="12" fontId="2" numFmtId="0" xfId="0" applyAlignment="1" applyBorder="1" applyFill="1" applyFont="1">
      <alignment horizontal="center" vertical="center"/>
    </xf>
    <xf borderId="15" fillId="0" fontId="8" numFmtId="0" xfId="0" applyAlignment="1" applyBorder="1" applyFont="1">
      <alignment vertical="center"/>
    </xf>
    <xf borderId="13" fillId="11" fontId="2" numFmtId="0" xfId="0" applyAlignment="1" applyBorder="1" applyFill="1" applyFont="1">
      <alignment horizontal="center" vertical="center"/>
    </xf>
    <xf borderId="3" fillId="13" fontId="12" numFmtId="0" xfId="0" applyAlignment="1" applyBorder="1" applyFill="1" applyFont="1">
      <alignment horizontal="center" shrinkToFit="0" vertical="center" wrapText="1"/>
    </xf>
    <xf borderId="1" fillId="14" fontId="2" numFmtId="0" xfId="0" applyAlignment="1" applyBorder="1" applyFill="1" applyFont="1">
      <alignment vertical="center"/>
    </xf>
    <xf borderId="13" fillId="10" fontId="2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15" fontId="12" numFmtId="0" xfId="0" applyAlignment="1" applyBorder="1" applyFill="1" applyFont="1">
      <alignment horizontal="center" shrinkToFit="0" vertical="center" wrapText="1"/>
    </xf>
    <xf borderId="8" fillId="14" fontId="2" numFmtId="0" xfId="0" applyAlignment="1" applyBorder="1" applyFill="1" applyFont="1">
      <alignment shrinkToFit="0" vertical="center" wrapText="1"/>
    </xf>
    <xf borderId="6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3" fillId="10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1" fillId="3" fontId="2" numFmtId="2" xfId="0" applyAlignment="1" applyBorder="1" applyFill="1" applyFont="1" applyNumberFormat="1">
      <alignment horizontal="center" vertical="center"/>
    </xf>
    <xf borderId="17" fillId="10" fontId="5" numFmtId="0" xfId="0" applyAlignment="1" applyBorder="1" applyFill="1" applyFont="1">
      <alignment horizontal="center" shrinkToFit="0" vertical="center" wrapText="1"/>
    </xf>
    <xf borderId="18" fillId="0" fontId="8" numFmtId="0" xfId="0" applyAlignment="1" applyBorder="1" applyFont="1">
      <alignment vertical="center"/>
    </xf>
    <xf borderId="13" fillId="14" fontId="2" numFmtId="0" xfId="0" applyAlignment="1" applyBorder="1" applyFill="1" applyFont="1">
      <alignment vertical="center"/>
    </xf>
    <xf borderId="7" fillId="0" fontId="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shrinkToFit="0" vertical="center" wrapText="1"/>
    </xf>
    <xf borderId="1" fillId="0" fontId="16" numFmtId="2" xfId="0" applyAlignment="1" applyBorder="1" applyFont="1" applyNumberFormat="1">
      <alignment horizontal="center" readingOrder="0" shrinkToFit="0" vertical="center" wrapText="1"/>
    </xf>
    <xf borderId="1" fillId="0" fontId="16" numFmtId="2" xfId="0" applyAlignment="1" applyBorder="1" applyFont="1" applyNumberFormat="1">
      <alignment horizontal="left" readingOrder="0" shrinkToFit="0" vertical="center" wrapText="1"/>
    </xf>
    <xf borderId="3" fillId="0" fontId="16" numFmtId="2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7" numFmtId="2" xfId="0" applyAlignment="1" applyFont="1" applyNumberFormat="1">
      <alignment horizontal="center" vertical="center"/>
    </xf>
    <xf borderId="0" fillId="0" fontId="5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3" fillId="16" fontId="18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3" fillId="17" fontId="5" numFmtId="10" xfId="0" applyAlignment="1" applyBorder="1" applyFill="1" applyFont="1" applyNumberFormat="1">
      <alignment horizontal="center" vertical="center"/>
    </xf>
    <xf borderId="1" fillId="17" fontId="5" numFmtId="10" xfId="0" applyAlignment="1" applyBorder="1" applyFill="1" applyFont="1" applyNumberFormat="1">
      <alignment horizontal="center" vertical="center"/>
    </xf>
    <xf borderId="3" fillId="0" fontId="5" numFmtId="10" xfId="0" applyAlignment="1" applyBorder="1" applyFont="1" applyNumberFormat="1">
      <alignment horizontal="center" vertical="center"/>
    </xf>
    <xf borderId="1" fillId="0" fontId="5" numFmtId="10" xfId="0" applyAlignment="1" applyBorder="1" applyFont="1" applyNumberFormat="1">
      <alignment horizontal="center" vertical="center"/>
    </xf>
    <xf borderId="3" fillId="14" fontId="5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20" fillId="17" fontId="19" numFmtId="0" xfId="0" applyAlignment="1" applyBorder="1" applyFill="1" applyFont="1">
      <alignment horizontal="center" shrinkToFit="0" vertical="center" wrapText="1"/>
    </xf>
    <xf borderId="3" fillId="16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21" fillId="0" fontId="8" numFmtId="0" xfId="0" applyAlignment="1" applyBorder="1" applyFont="1">
      <alignment vertical="center"/>
    </xf>
    <xf borderId="1" fillId="18" fontId="5" numFmtId="10" xfId="0" applyAlignment="1" applyBorder="1" applyFill="1" applyFont="1" applyNumberFormat="1">
      <alignment horizontal="center" vertical="bottom"/>
    </xf>
    <xf borderId="1" fillId="0" fontId="5" numFmtId="10" xfId="0" applyAlignment="1" applyBorder="1" applyFont="1" applyNumberFormat="1">
      <alignment horizontal="center" vertical="bottom"/>
    </xf>
    <xf borderId="1" fillId="14" fontId="5" numFmtId="10" xfId="0" applyAlignment="1" applyBorder="1" applyFill="1" applyFont="1" applyNumberFormat="1">
      <alignment horizontal="center" vertical="bottom"/>
    </xf>
    <xf borderId="1" fillId="14" fontId="5" numFmtId="0" xfId="0" applyAlignment="1" applyBorder="1" applyFill="1" applyFont="1">
      <alignment horizontal="center" vertical="bottom"/>
    </xf>
    <xf borderId="2" fillId="16" fontId="18" numFmtId="0" xfId="0" applyAlignment="1" applyBorder="1" applyFill="1" applyFont="1">
      <alignment vertical="center"/>
    </xf>
    <xf borderId="22" fillId="0" fontId="8" numFmtId="0" xfId="0" applyAlignment="1" applyBorder="1" applyFont="1">
      <alignment vertical="center"/>
    </xf>
    <xf borderId="1" fillId="6" fontId="10" numFmtId="0" xfId="0" applyAlignment="1" applyBorder="1" applyFill="1" applyFont="1">
      <alignment horizontal="center" vertical="bottom"/>
    </xf>
    <xf borderId="0" fillId="0" fontId="18" numFmtId="0" xfId="0" applyAlignment="1" applyFont="1">
      <alignment vertical="center"/>
    </xf>
    <xf borderId="0" fillId="0" fontId="10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18" fontId="5" numFmtId="0" xfId="0" applyAlignment="1" applyBorder="1" applyFill="1" applyFont="1">
      <alignment horizontal="center" vertical="bottom"/>
    </xf>
    <xf borderId="1" fillId="17" fontId="2" numFmtId="0" xfId="0" applyAlignment="1" applyBorder="1" applyFill="1" applyFont="1">
      <alignment horizontal="center" vertical="bottom"/>
    </xf>
    <xf borderId="1" fillId="18" fontId="5" numFmtId="164" xfId="0" applyAlignment="1" applyBorder="1" applyFill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6" fillId="17" fontId="19" numFmtId="0" xfId="0" applyAlignment="1" applyBorder="1" applyFill="1" applyFont="1">
      <alignment horizontal="center" shrinkToFit="0" vertical="center" wrapText="1"/>
    </xf>
    <xf borderId="9" fillId="16" fontId="10" numFmtId="0" xfId="0" applyAlignment="1" applyBorder="1" applyFill="1" applyFont="1">
      <alignment vertical="center"/>
    </xf>
    <xf borderId="1" fillId="14" fontId="20" numFmtId="0" xfId="0" applyAlignment="1" applyBorder="1" applyFill="1" applyFont="1">
      <alignment horizontal="center" readingOrder="0" shrinkToFit="0" vertical="bottom" wrapText="0"/>
    </xf>
    <xf borderId="23" fillId="16" fontId="10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9" fillId="17" fontId="18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vertical="bottom"/>
    </xf>
    <xf borderId="1" fillId="0" fontId="10" numFmtId="164" xfId="0" applyAlignment="1" applyBorder="1" applyFont="1" applyNumberFormat="1">
      <alignment horizontal="center" vertical="bottom"/>
    </xf>
    <xf borderId="1" fillId="17" fontId="18" numFmtId="0" xfId="0" applyAlignment="1" applyBorder="1" applyFill="1" applyFont="1">
      <alignment horizontal="center" vertical="bottom"/>
    </xf>
    <xf borderId="0" fillId="0" fontId="9" numFmtId="164" xfId="0" applyAlignment="1" applyFont="1" applyNumberFormat="1">
      <alignment vertical="center"/>
    </xf>
    <xf borderId="0" fillId="0" fontId="10" numFmtId="164" xfId="0" applyAlignment="1" applyFont="1" applyNumberFormat="1">
      <alignment horizontal="center" vertical="bottom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17" fontId="2" numFmtId="0" xfId="0" applyAlignment="1" applyBorder="1" applyFill="1" applyFont="1">
      <alignment horizontal="center" vertical="center"/>
    </xf>
    <xf borderId="1" fillId="18" fontId="5" numFmtId="164" xfId="0" applyAlignment="1" applyBorder="1" applyFill="1" applyFont="1" applyNumberFormat="1">
      <alignment horizontal="center" vertical="center"/>
    </xf>
    <xf borderId="1" fillId="14" fontId="10" numFmtId="0" xfId="0" applyAlignment="1" applyBorder="1" applyFill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22" numFmtId="1" xfId="0" applyAlignment="1" applyBorder="1" applyFont="1" applyNumberFormat="1">
      <alignment horizontal="center" shrinkToFit="1" vertical="center" wrapText="0"/>
    </xf>
    <xf borderId="1" fillId="0" fontId="2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bottom"/>
    </xf>
    <xf borderId="1" fillId="14" fontId="2" numFmtId="0" xfId="0" applyAlignment="1" applyBorder="1" applyFill="1" applyFont="1">
      <alignment horizontal="center" vertical="bottom"/>
    </xf>
    <xf borderId="1" fillId="0" fontId="2" numFmtId="10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horizontal="center" vertical="bottom"/>
    </xf>
    <xf borderId="1" fillId="0" fontId="5" numFmtId="0" xfId="0" applyAlignment="1" applyBorder="1" applyFont="1">
      <alignment vertical="bottom"/>
    </xf>
    <xf borderId="1" fillId="0" fontId="15" numFmtId="0" xfId="0" applyAlignment="1" applyBorder="1" applyFont="1">
      <alignment horizontal="left" shrinkToFit="0" vertical="center" wrapText="1"/>
    </xf>
    <xf borderId="1" fillId="0" fontId="2" numFmtId="166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" fillId="14" fontId="12" numFmtId="0" xfId="0" applyAlignment="1" applyBorder="1" applyFill="1" applyFont="1">
      <alignment horizontal="right" readingOrder="0" shrinkToFit="0" vertical="bottom" wrapText="0"/>
    </xf>
    <xf borderId="6" fillId="0" fontId="22" numFmtId="1" xfId="0" applyAlignment="1" applyBorder="1" applyFont="1" applyNumberFormat="1">
      <alignment horizontal="center" shrinkToFit="1" vertical="center" wrapText="0"/>
    </xf>
    <xf borderId="7" fillId="0" fontId="22" numFmtId="1" xfId="0" applyAlignment="1" applyBorder="1" applyFont="1" applyNumberFormat="1">
      <alignment horizontal="center" shrinkToFit="1" vertical="center" wrapText="0"/>
    </xf>
    <xf borderId="1" fillId="0" fontId="9" numFmtId="0" xfId="0" applyAlignment="1" applyBorder="1" applyFont="1">
      <alignment shrinkToFit="0" vertical="center" wrapText="1"/>
    </xf>
    <xf borderId="0" fillId="0" fontId="24" numFmtId="2" xfId="0" applyAlignment="1" applyFont="1" applyNumberFormat="1">
      <alignment horizontal="center" shrinkToFit="0" vertical="center" wrapText="1"/>
    </xf>
    <xf borderId="1" fillId="0" fontId="7" numFmtId="0" xfId="0" applyAlignment="1" applyBorder="1" applyFont="1">
      <alignment shrinkToFit="0" vertical="bottom" wrapText="1"/>
    </xf>
    <xf borderId="0" fillId="0" fontId="25" numFmtId="0" xfId="0" applyAlignment="1" applyFont="1">
      <alignment horizontal="center" shrinkToFit="0" vertical="center" wrapText="1"/>
    </xf>
    <xf borderId="0" fillId="0" fontId="25" numFmtId="2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0" fontId="4" numFmtId="0" xfId="0" applyAlignment="1" applyBorder="1" applyFont="1">
      <alignment vertical="bottom"/>
    </xf>
    <xf borderId="0" fillId="0" fontId="26" numFmtId="0" xfId="0" applyAlignment="1" applyFont="1">
      <alignment horizontal="center" shrinkToFit="0" vertical="center" wrapText="1"/>
    </xf>
    <xf borderId="1" fillId="0" fontId="27" numFmtId="10" xfId="0" applyAlignment="1" applyBorder="1" applyFont="1" applyNumberFormat="1">
      <alignment horizontal="center" vertical="center"/>
    </xf>
    <xf borderId="0" fillId="0" fontId="27" numFmtId="0" xfId="0" applyAlignment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0" fontId="28" numFmtId="0" xfId="0" applyAlignment="1" applyBorder="1" applyFont="1">
      <alignment shrinkToFit="0" vertical="center" wrapText="1"/>
    </xf>
    <xf borderId="1" fillId="19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35.0"/>
    <col customWidth="1" min="3" max="3" width="7.43"/>
    <col customWidth="1" min="4" max="4" width="6.71"/>
    <col customWidth="1" min="5" max="5" width="7.0"/>
    <col customWidth="1" min="6" max="6" width="6.14"/>
    <col customWidth="1" min="7" max="7" width="8.43"/>
    <col customWidth="1" min="8" max="8" width="6.86"/>
    <col customWidth="1" min="9" max="9" width="7.14"/>
    <col customWidth="1" min="10" max="10" width="7.29"/>
    <col customWidth="1" min="11" max="11" width="5.14"/>
    <col customWidth="1" min="12" max="12" width="8.14"/>
    <col customWidth="1" min="13" max="13" width="5.29"/>
    <col customWidth="1" min="14" max="15" width="6.29"/>
    <col customWidth="1" min="16" max="16" width="5.14"/>
    <col customWidth="1" min="17" max="17" width="6.29"/>
    <col customWidth="1" min="18" max="18" width="6.0"/>
    <col customWidth="1" min="19" max="19" width="7.71"/>
    <col customWidth="1" min="20" max="21" width="10.43"/>
    <col customWidth="1" min="22" max="22" width="10.86"/>
    <col customWidth="1" min="23" max="23" width="11.0"/>
    <col customWidth="1" min="24" max="24" width="12.86"/>
    <col customWidth="1" min="25" max="26" width="10.43"/>
    <col customWidth="1" min="27" max="28" width="12.57"/>
    <col customWidth="1" min="29" max="30" width="10.43"/>
    <col customWidth="1" min="31" max="31" width="8.57"/>
    <col customWidth="1" min="32" max="32" width="12.57"/>
    <col customWidth="1" min="33" max="35" width="8.57"/>
    <col customWidth="1" min="36" max="53" width="10.0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  <c r="O1" s="4"/>
      <c r="P1" s="4"/>
      <c r="Q1" s="4"/>
      <c r="R1" s="4"/>
      <c r="S1" s="4"/>
      <c r="T1" s="4"/>
      <c r="U1" s="4"/>
      <c r="V1" s="2"/>
      <c r="W1" s="2"/>
      <c r="X1" s="2"/>
      <c r="Y1" s="2"/>
      <c r="Z1" s="2"/>
      <c r="AA1" s="2"/>
      <c r="AB1" s="2"/>
      <c r="AC1" s="5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ht="27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6" t="s">
        <v>1</v>
      </c>
      <c r="V2" s="2"/>
      <c r="W2" s="2"/>
      <c r="X2" s="7" t="s">
        <v>2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ht="27.0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8" t="s">
        <v>3</v>
      </c>
      <c r="O3" s="7" t="s">
        <v>4</v>
      </c>
      <c r="Q3" s="4"/>
      <c r="R3" s="8" t="s">
        <v>5</v>
      </c>
      <c r="S3" s="4"/>
      <c r="T3" s="10" t="s">
        <v>6</v>
      </c>
      <c r="U3" s="4"/>
      <c r="V3" s="2"/>
      <c r="W3" s="2"/>
      <c r="X3" s="11" t="s">
        <v>7</v>
      </c>
      <c r="Y3" s="11" t="s">
        <v>8</v>
      </c>
      <c r="Z3" s="11" t="s">
        <v>9</v>
      </c>
      <c r="AA3" s="11" t="s">
        <v>11</v>
      </c>
      <c r="AB3" s="11" t="s">
        <v>12</v>
      </c>
      <c r="AC3" s="11" t="s">
        <v>13</v>
      </c>
      <c r="AD3" s="11" t="s">
        <v>14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ht="27.0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8" t="s">
        <v>15</v>
      </c>
      <c r="O4" s="12" t="s">
        <v>16</v>
      </c>
      <c r="Q4" s="4"/>
      <c r="R4" s="4"/>
      <c r="S4" s="4"/>
      <c r="T4" s="4"/>
      <c r="U4" s="4"/>
      <c r="V4" s="2"/>
      <c r="W4" s="2"/>
      <c r="X4" s="13" t="s">
        <v>17</v>
      </c>
      <c r="Y4" s="14">
        <v>10.0</v>
      </c>
      <c r="Z4" s="14">
        <v>10.0</v>
      </c>
      <c r="AA4" s="14">
        <v>10.0</v>
      </c>
      <c r="AB4" s="14" t="str">
        <f>IF($C$111="CO4",$C$115,IF($D$111="CO4",$D$115,IF($E$111="CO4",$E$115,"")))</f>
        <v/>
      </c>
      <c r="AC4" s="14" t="str">
        <f>IF($C$111="CO5",$C$115,IF($D$111="CO5",$D$115,IF($E$111="CO5",$E$115,"")))</f>
        <v/>
      </c>
      <c r="AD4" s="14" t="str">
        <f>IF($C$111="CO6",$C$115,IF($D$111="CO6",$D$115,IF($E$111="CO6",$E$115,"")))</f>
        <v/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ht="48.0" customHeight="1">
      <c r="A5" s="15" t="s">
        <v>18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2"/>
      <c r="N5" s="9" t="s">
        <v>19</v>
      </c>
      <c r="O5" s="9" t="s">
        <v>20</v>
      </c>
      <c r="P5" s="9"/>
      <c r="Q5" s="9"/>
      <c r="R5" s="9" t="s">
        <v>21</v>
      </c>
      <c r="S5" s="9"/>
      <c r="T5" s="4"/>
      <c r="U5" s="4"/>
      <c r="V5" s="2"/>
      <c r="W5" s="2"/>
      <c r="X5" s="13" t="s">
        <v>22</v>
      </c>
      <c r="Y5" s="14" t="str">
        <f>IF($H$111="CO1",$H$115,IF($I$111="CO1",$I$115,IF($J$111="CO1",$J$115,"")))</f>
        <v/>
      </c>
      <c r="Z5" s="14" t="str">
        <f>IF($H$111="CO2",$H$115,IF($I$111="CO2",$I$115,IF($J$111="CO2",$J$115,"")))</f>
        <v/>
      </c>
      <c r="AA5" s="14" t="str">
        <f>IF($H$111="CO3",$H$115,IF($I$111="CO3",$I$115,IF($J$111="CO3",$J$115,"")))</f>
        <v/>
      </c>
      <c r="AB5" s="14">
        <v>10.0</v>
      </c>
      <c r="AC5" s="14">
        <v>10.0</v>
      </c>
      <c r="AD5" s="14">
        <v>10.0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ht="48.0" customHeight="1">
      <c r="A6" s="18" t="s">
        <v>23</v>
      </c>
      <c r="B6" s="19"/>
      <c r="C6" s="19"/>
      <c r="D6" s="19"/>
      <c r="E6" s="19"/>
      <c r="F6" s="19"/>
      <c r="G6" s="19"/>
      <c r="H6" s="19"/>
      <c r="I6" s="19"/>
      <c r="J6" s="19"/>
      <c r="K6" s="20"/>
      <c r="L6" s="21"/>
      <c r="M6" s="2"/>
      <c r="N6" s="9" t="s">
        <v>24</v>
      </c>
      <c r="O6" s="9"/>
      <c r="P6" s="9"/>
      <c r="Q6" s="9"/>
      <c r="R6" s="9"/>
      <c r="S6" s="9"/>
      <c r="T6" s="4"/>
      <c r="U6" s="4"/>
      <c r="V6" s="2"/>
      <c r="W6" s="2"/>
      <c r="X6" s="22" t="s">
        <v>25</v>
      </c>
      <c r="Y6" s="14">
        <f t="shared" ref="Y6:AD6" si="1">$T$115</f>
        <v>3</v>
      </c>
      <c r="Z6" s="14">
        <f t="shared" si="1"/>
        <v>3</v>
      </c>
      <c r="AA6" s="14">
        <f t="shared" si="1"/>
        <v>3</v>
      </c>
      <c r="AB6" s="14">
        <f t="shared" si="1"/>
        <v>3</v>
      </c>
      <c r="AC6" s="14">
        <f t="shared" si="1"/>
        <v>3</v>
      </c>
      <c r="AD6" s="14">
        <f t="shared" si="1"/>
        <v>3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ht="75.0" customHeight="1">
      <c r="A7" s="18" t="s">
        <v>27</v>
      </c>
      <c r="B7" s="19"/>
      <c r="C7" s="19"/>
      <c r="D7" s="19"/>
      <c r="E7" s="19"/>
      <c r="F7" s="19"/>
      <c r="G7" s="19"/>
      <c r="H7" s="19"/>
      <c r="I7" s="19"/>
      <c r="J7" s="19"/>
      <c r="K7" s="20"/>
      <c r="L7" s="21"/>
      <c r="M7" s="2"/>
      <c r="N7" s="11" t="s">
        <v>7</v>
      </c>
      <c r="O7" s="11" t="s">
        <v>8</v>
      </c>
      <c r="P7" s="11" t="s">
        <v>9</v>
      </c>
      <c r="Q7" s="11" t="s">
        <v>11</v>
      </c>
      <c r="R7" s="11" t="s">
        <v>12</v>
      </c>
      <c r="S7" s="11" t="s">
        <v>13</v>
      </c>
      <c r="T7" s="23" t="s">
        <v>14</v>
      </c>
      <c r="V7" s="2"/>
      <c r="W7" s="2"/>
      <c r="X7" s="24" t="s">
        <v>28</v>
      </c>
      <c r="Y7" s="25">
        <f>IF($M$111="CO1",$M$115,IF($N$111="CO1",$N$115,IF($O$111="CO1",$O$115,IF($P$111="CO1",$P$115,IF($Q$111="CO1",$Q$115,IF($R$111="CO1",$R$115,""))))))</f>
        <v>3</v>
      </c>
      <c r="Z7" s="25">
        <f>IF($M$111="CO2",$M$115,IF($N$111="CO2",$N$115,IF($O$111="CO2",$O$115,IF($P$111="CO2",$P$115,IF($Q$111="CO2",$Q$115,IF($R$111="CO2",$R$115,""))))))</f>
        <v>3</v>
      </c>
      <c r="AA7" s="25">
        <f>IF($M$111="CO3",$M$115,IF($N$111="CO3",$N$115,IF($O$111="CO3",$O$115,IF($P$111="CO3",$P$115,IF($Q$111="CO3",$Q$115,IF($R$111="CO3",$R$115,""))))))</f>
        <v>3</v>
      </c>
      <c r="AB7" s="25">
        <f>IF($M$111="CO4",$M$115,IF($N$111="CO4",$N$115,IF($O$111="CO4",$O$115,IF($P$111="CO4",$P$115,IF($Q$111="CO4",$Q$115,IF($R$111="CO4",$R$115,""))))))</f>
        <v>1</v>
      </c>
      <c r="AC7" s="25">
        <f>IF($M$111="CO5",$M$115,IF($N$111="CO5",$N$115,IF($O$111="CO5",$O$115,IF($P$111="CO5",$P$115,IF($Q$111="CO5",$Q$115,IF($R$111="CO5",$R$115,""))))))</f>
        <v>2</v>
      </c>
      <c r="AD7" s="25">
        <f>IF($M$111="CO6",$M$115,IF($N$111="CO6",$N$115,IF($O$111="CO6",$O$115,IF($P$111="CO6",$P$115,IF($Q$111="CO6",$Q$115,IF($R$111="CO6",$R$115,""))))))</f>
        <v>2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ht="54.75" customHeight="1">
      <c r="A8" s="18" t="s">
        <v>29</v>
      </c>
      <c r="B8" s="19"/>
      <c r="C8" s="19"/>
      <c r="D8" s="19"/>
      <c r="E8" s="19"/>
      <c r="F8" s="19"/>
      <c r="G8" s="19"/>
      <c r="H8" s="19"/>
      <c r="I8" s="19"/>
      <c r="J8" s="19"/>
      <c r="K8" s="20"/>
      <c r="L8" s="21"/>
      <c r="M8" s="2"/>
      <c r="N8" s="27" t="s">
        <v>30</v>
      </c>
      <c r="O8" s="27">
        <f>$U$115</f>
        <v>3</v>
      </c>
      <c r="P8" s="27">
        <f>$V$115</f>
        <v>3</v>
      </c>
      <c r="Q8" s="27">
        <f>$W$115</f>
        <v>3</v>
      </c>
      <c r="R8" s="27">
        <f>$X$115</f>
        <v>3</v>
      </c>
      <c r="S8" s="28">
        <f>$Y$115</f>
        <v>3</v>
      </c>
      <c r="T8" s="28">
        <f>$Z$115</f>
        <v>3</v>
      </c>
      <c r="V8" s="2"/>
      <c r="W8" s="2"/>
      <c r="X8" s="31" t="s">
        <v>32</v>
      </c>
      <c r="Y8" s="32">
        <f t="shared" ref="Y8:AD8" si="2">AVERAGE(Y4:Y7)</f>
        <v>5.333333333</v>
      </c>
      <c r="Z8" s="32">
        <f t="shared" si="2"/>
        <v>5.333333333</v>
      </c>
      <c r="AA8" s="32">
        <f t="shared" si="2"/>
        <v>5.333333333</v>
      </c>
      <c r="AB8" s="32">
        <f t="shared" si="2"/>
        <v>4.666666667</v>
      </c>
      <c r="AC8" s="32">
        <f t="shared" si="2"/>
        <v>5</v>
      </c>
      <c r="AD8" s="32">
        <f t="shared" si="2"/>
        <v>5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ht="45.75" customHeight="1">
      <c r="A9" s="18" t="s">
        <v>34</v>
      </c>
      <c r="B9" s="19"/>
      <c r="C9" s="19"/>
      <c r="D9" s="19"/>
      <c r="E9" s="19"/>
      <c r="F9" s="19"/>
      <c r="G9" s="19"/>
      <c r="H9" s="19"/>
      <c r="I9" s="19"/>
      <c r="J9" s="19"/>
      <c r="K9" s="20"/>
      <c r="L9" s="21"/>
      <c r="M9" s="2"/>
      <c r="N9" s="34" t="s">
        <v>35</v>
      </c>
      <c r="O9" s="19"/>
      <c r="P9" s="19"/>
      <c r="Q9" s="20"/>
      <c r="R9" s="35" t="s">
        <v>36</v>
      </c>
      <c r="S9" s="17"/>
      <c r="V9" s="2"/>
      <c r="W9" s="2"/>
      <c r="X9" s="7" t="s">
        <v>37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ht="54.0" customHeight="1">
      <c r="A10" s="18" t="s">
        <v>38</v>
      </c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21"/>
      <c r="M10" s="2"/>
      <c r="N10" s="36" t="s">
        <v>39</v>
      </c>
      <c r="O10" s="19"/>
      <c r="P10" s="19"/>
      <c r="Q10" s="20"/>
      <c r="R10" s="37">
        <v>3.0</v>
      </c>
      <c r="S10" s="40"/>
      <c r="V10" s="38"/>
      <c r="W10" s="38"/>
      <c r="X10" s="11" t="s">
        <v>7</v>
      </c>
      <c r="Y10" s="11" t="s">
        <v>8</v>
      </c>
      <c r="Z10" s="11" t="s">
        <v>9</v>
      </c>
      <c r="AA10" s="11" t="s">
        <v>11</v>
      </c>
      <c r="AB10" s="11" t="s">
        <v>12</v>
      </c>
      <c r="AC10" s="11" t="s">
        <v>13</v>
      </c>
      <c r="AD10" s="11" t="s">
        <v>14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ht="54.0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2"/>
      <c r="N11" s="36" t="s">
        <v>42</v>
      </c>
      <c r="O11" s="19"/>
      <c r="P11" s="19"/>
      <c r="Q11" s="20"/>
      <c r="R11" s="37">
        <v>2.0</v>
      </c>
      <c r="S11" s="40"/>
      <c r="V11" s="38"/>
      <c r="W11" s="38"/>
      <c r="X11" s="30" t="s">
        <v>41</v>
      </c>
      <c r="Y11" s="30">
        <f>$U$115</f>
        <v>3</v>
      </c>
      <c r="Z11" s="30">
        <f>$V$115</f>
        <v>3</v>
      </c>
      <c r="AA11" s="30">
        <f>$W$115</f>
        <v>3</v>
      </c>
      <c r="AB11" s="30">
        <f>$X$115</f>
        <v>3</v>
      </c>
      <c r="AC11" s="30">
        <f>$Y$115</f>
        <v>3</v>
      </c>
      <c r="AD11" s="30">
        <f>$Z$115</f>
        <v>3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ht="30.0" customHeight="1">
      <c r="M12" s="2"/>
      <c r="N12" s="36" t="s">
        <v>43</v>
      </c>
      <c r="O12" s="19"/>
      <c r="P12" s="19"/>
      <c r="Q12" s="20"/>
      <c r="R12" s="37">
        <v>1.0</v>
      </c>
      <c r="S12" s="40"/>
      <c r="V12" s="38"/>
      <c r="W12" s="38"/>
      <c r="X12" s="41" t="s">
        <v>44</v>
      </c>
      <c r="Y12" s="42">
        <v>3.0</v>
      </c>
      <c r="Z12" s="42">
        <v>3.0</v>
      </c>
      <c r="AA12" s="42">
        <v>3.0</v>
      </c>
      <c r="AB12" s="42">
        <v>3.0</v>
      </c>
      <c r="AC12" s="42">
        <v>3.0</v>
      </c>
      <c r="AD12" s="42">
        <v>3.0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ht="57.0" customHeight="1">
      <c r="A13" s="45" t="s">
        <v>45</v>
      </c>
      <c r="H13" s="46"/>
      <c r="I13" s="46"/>
      <c r="M13" s="2"/>
      <c r="N13" s="9" t="s">
        <v>46</v>
      </c>
      <c r="P13" s="38"/>
      <c r="Q13" s="38"/>
      <c r="R13" s="38"/>
      <c r="S13" s="49"/>
      <c r="T13" s="38"/>
      <c r="U13" s="38"/>
      <c r="V13" s="38"/>
      <c r="W13" s="38"/>
      <c r="X13" s="51" t="s">
        <v>37</v>
      </c>
      <c r="Y13" s="48">
        <f t="shared" ref="Y13:AD13" si="3">Y11*0.8+Y12*0.2</f>
        <v>3</v>
      </c>
      <c r="Z13" s="48">
        <f t="shared" si="3"/>
        <v>3</v>
      </c>
      <c r="AA13" s="48">
        <f t="shared" si="3"/>
        <v>3</v>
      </c>
      <c r="AB13" s="48">
        <f t="shared" si="3"/>
        <v>3</v>
      </c>
      <c r="AC13" s="48">
        <f t="shared" si="3"/>
        <v>3</v>
      </c>
      <c r="AD13" s="48">
        <f t="shared" si="3"/>
        <v>3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ht="42.0" customHeight="1">
      <c r="A14" s="52" t="s">
        <v>47</v>
      </c>
      <c r="B14" s="53" t="s">
        <v>48</v>
      </c>
      <c r="C14" s="19"/>
      <c r="D14" s="19"/>
      <c r="E14" s="19"/>
      <c r="F14" s="19"/>
      <c r="G14" s="19"/>
      <c r="H14" s="20"/>
      <c r="I14" s="55"/>
      <c r="M14" s="2"/>
      <c r="N14" s="56"/>
      <c r="O14" s="57" t="s">
        <v>49</v>
      </c>
      <c r="P14" s="57" t="s">
        <v>50</v>
      </c>
      <c r="Q14" s="57" t="s">
        <v>51</v>
      </c>
      <c r="R14" s="57" t="s">
        <v>52</v>
      </c>
      <c r="S14" s="57" t="s">
        <v>53</v>
      </c>
      <c r="T14" s="57" t="s">
        <v>54</v>
      </c>
      <c r="U14" s="57" t="s">
        <v>55</v>
      </c>
      <c r="V14" s="57" t="s">
        <v>56</v>
      </c>
      <c r="W14" s="57" t="s">
        <v>57</v>
      </c>
      <c r="X14" s="62" t="s">
        <v>58</v>
      </c>
      <c r="Y14" s="64" t="s">
        <v>59</v>
      </c>
      <c r="Z14" s="66"/>
      <c r="AA14" s="67" t="s">
        <v>61</v>
      </c>
      <c r="AB14" s="67" t="s">
        <v>62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ht="30.75" customHeight="1">
      <c r="A15" s="58"/>
      <c r="B15" s="70" t="s">
        <v>8</v>
      </c>
      <c r="C15" s="70" t="s">
        <v>9</v>
      </c>
      <c r="D15" s="70" t="s">
        <v>11</v>
      </c>
      <c r="E15" s="70" t="s">
        <v>12</v>
      </c>
      <c r="F15" s="70" t="s">
        <v>13</v>
      </c>
      <c r="G15" s="70" t="s">
        <v>14</v>
      </c>
      <c r="H15" s="70" t="s">
        <v>63</v>
      </c>
      <c r="I15" s="38"/>
      <c r="J15" s="38"/>
      <c r="K15" s="38"/>
      <c r="L15" s="60"/>
      <c r="M15" s="2"/>
      <c r="N15" s="57" t="s">
        <v>8</v>
      </c>
      <c r="O15" s="72">
        <v>3.0</v>
      </c>
      <c r="P15" s="72">
        <v>2.0</v>
      </c>
      <c r="Q15" s="73"/>
      <c r="R15" s="73"/>
      <c r="S15" s="75">
        <v>2.0</v>
      </c>
      <c r="T15" s="20"/>
      <c r="U15" s="72">
        <v>1.0</v>
      </c>
      <c r="V15" s="73"/>
      <c r="W15" s="72">
        <v>1.0</v>
      </c>
      <c r="X15" s="73"/>
      <c r="Y15" s="75">
        <v>2.0</v>
      </c>
      <c r="Z15" s="20"/>
      <c r="AA15" s="72">
        <v>2.0</v>
      </c>
      <c r="AB15" s="72">
        <v>2.0</v>
      </c>
      <c r="AE15" s="68" t="s">
        <v>64</v>
      </c>
      <c r="AF15" s="19"/>
      <c r="AG15" s="20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ht="30.75" customHeight="1">
      <c r="A16" s="69" t="s">
        <v>17</v>
      </c>
      <c r="B16" s="37">
        <v>10.0</v>
      </c>
      <c r="C16" s="37">
        <v>10.0</v>
      </c>
      <c r="D16" s="37">
        <v>10.0</v>
      </c>
      <c r="E16" s="37"/>
      <c r="F16" s="37"/>
      <c r="G16" s="37"/>
      <c r="H16" s="74">
        <f t="shared" ref="H16:H18" si="4">SUM(B16:G16)</f>
        <v>30</v>
      </c>
      <c r="I16" s="38"/>
      <c r="J16" s="38"/>
      <c r="K16" s="38"/>
      <c r="M16" s="2"/>
      <c r="N16" s="57" t="s">
        <v>9</v>
      </c>
      <c r="O16" s="72">
        <v>3.0</v>
      </c>
      <c r="P16" s="72">
        <v>3.0</v>
      </c>
      <c r="Q16" s="72">
        <v>2.0</v>
      </c>
      <c r="R16" s="72">
        <v>2.0</v>
      </c>
      <c r="S16" s="75">
        <v>2.0</v>
      </c>
      <c r="T16" s="20"/>
      <c r="U16" s="72">
        <v>1.0</v>
      </c>
      <c r="V16" s="72">
        <v>1.0</v>
      </c>
      <c r="W16" s="72">
        <v>2.0</v>
      </c>
      <c r="X16" s="72">
        <v>1.0</v>
      </c>
      <c r="Y16" s="75">
        <v>2.0</v>
      </c>
      <c r="Z16" s="20"/>
      <c r="AA16" s="72">
        <v>2.0</v>
      </c>
      <c r="AB16" s="72">
        <v>2.0</v>
      </c>
      <c r="AE16" s="76" t="s">
        <v>65</v>
      </c>
      <c r="AF16" s="20"/>
      <c r="AG16" s="37">
        <v>45.0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ht="30.75" customHeight="1">
      <c r="A17" s="69" t="s">
        <v>22</v>
      </c>
      <c r="B17" s="37"/>
      <c r="C17" s="37"/>
      <c r="D17" s="37"/>
      <c r="E17" s="37">
        <v>10.0</v>
      </c>
      <c r="F17" s="37">
        <v>10.0</v>
      </c>
      <c r="G17" s="37">
        <v>10.0</v>
      </c>
      <c r="H17" s="74">
        <f t="shared" si="4"/>
        <v>30</v>
      </c>
      <c r="I17" s="38"/>
      <c r="J17" s="38"/>
      <c r="K17" s="38"/>
      <c r="L17" s="60"/>
      <c r="M17" s="2"/>
      <c r="N17" s="57" t="s">
        <v>11</v>
      </c>
      <c r="O17" s="72">
        <v>3.0</v>
      </c>
      <c r="P17" s="72">
        <v>3.0</v>
      </c>
      <c r="Q17" s="72">
        <v>2.0</v>
      </c>
      <c r="R17" s="72">
        <v>2.0</v>
      </c>
      <c r="S17" s="75">
        <v>3.0</v>
      </c>
      <c r="T17" s="20"/>
      <c r="U17" s="72">
        <v>1.0</v>
      </c>
      <c r="V17" s="73"/>
      <c r="W17" s="72">
        <v>1.0</v>
      </c>
      <c r="X17" s="72">
        <v>1.0</v>
      </c>
      <c r="Y17" s="75">
        <v>3.0</v>
      </c>
      <c r="Z17" s="20"/>
      <c r="AA17" s="72">
        <v>2.0</v>
      </c>
      <c r="AB17" s="72">
        <v>2.0</v>
      </c>
      <c r="AE17" s="77" t="s">
        <v>66</v>
      </c>
      <c r="AF17" s="19"/>
      <c r="AG17" s="20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ht="30.75" customHeight="1">
      <c r="A18" s="78" t="s">
        <v>25</v>
      </c>
      <c r="B18" s="79">
        <v>1.6667</v>
      </c>
      <c r="C18" s="79">
        <v>1.6667</v>
      </c>
      <c r="D18" s="79">
        <v>1.6667</v>
      </c>
      <c r="E18" s="79">
        <v>1.6667</v>
      </c>
      <c r="F18" s="79">
        <v>1.6667</v>
      </c>
      <c r="G18" s="79">
        <v>1.6667</v>
      </c>
      <c r="H18" s="84">
        <f t="shared" si="4"/>
        <v>10.0002</v>
      </c>
      <c r="I18" s="38"/>
      <c r="J18" s="38"/>
      <c r="K18" s="38"/>
      <c r="M18" s="2"/>
      <c r="N18" s="57" t="s">
        <v>12</v>
      </c>
      <c r="O18" s="72">
        <v>3.0</v>
      </c>
      <c r="P18" s="72">
        <v>3.0</v>
      </c>
      <c r="Q18" s="72">
        <v>2.0</v>
      </c>
      <c r="R18" s="72">
        <v>3.0</v>
      </c>
      <c r="S18" s="75">
        <v>2.0</v>
      </c>
      <c r="T18" s="20"/>
      <c r="U18" s="72">
        <v>1.0</v>
      </c>
      <c r="V18" s="73"/>
      <c r="W18" s="72">
        <v>1.0</v>
      </c>
      <c r="X18" s="72">
        <v>1.0</v>
      </c>
      <c r="Y18" s="75">
        <v>3.0</v>
      </c>
      <c r="Z18" s="20"/>
      <c r="AA18" s="72">
        <v>2.0</v>
      </c>
      <c r="AB18" s="72">
        <v>2.0</v>
      </c>
      <c r="AE18" s="74" t="s">
        <v>67</v>
      </c>
      <c r="AF18" s="37" t="s">
        <v>68</v>
      </c>
      <c r="AG18" s="37" t="s">
        <v>69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ht="23.25" customHeight="1">
      <c r="A19" s="86" t="s">
        <v>70</v>
      </c>
      <c r="B19" s="87"/>
      <c r="C19" s="87"/>
      <c r="D19" s="87"/>
      <c r="E19" s="87"/>
      <c r="F19" s="87"/>
      <c r="G19" s="87"/>
      <c r="H19" s="87"/>
      <c r="I19" s="38"/>
      <c r="J19" s="38"/>
      <c r="K19" s="38"/>
      <c r="M19" s="2"/>
      <c r="N19" s="57" t="s">
        <v>13</v>
      </c>
      <c r="O19" s="72">
        <v>2.0</v>
      </c>
      <c r="P19" s="72">
        <v>2.0</v>
      </c>
      <c r="Q19" s="72">
        <v>2.0</v>
      </c>
      <c r="R19" s="72">
        <v>3.0</v>
      </c>
      <c r="S19" s="75">
        <v>3.0</v>
      </c>
      <c r="T19" s="20"/>
      <c r="U19" s="72">
        <v>1.0</v>
      </c>
      <c r="V19" s="73"/>
      <c r="W19" s="72">
        <v>1.0</v>
      </c>
      <c r="X19" s="72">
        <v>1.0</v>
      </c>
      <c r="Y19" s="75">
        <v>3.0</v>
      </c>
      <c r="Z19" s="20"/>
      <c r="AA19" s="72">
        <v>2.0</v>
      </c>
      <c r="AB19" s="72">
        <v>2.0</v>
      </c>
      <c r="AE19" s="74">
        <v>55.0</v>
      </c>
      <c r="AF19" s="37">
        <v>100.0</v>
      </c>
      <c r="AG19" s="37">
        <v>3.0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ht="29.25" customHeight="1">
      <c r="A20" s="88" t="s">
        <v>72</v>
      </c>
      <c r="B20" s="89">
        <v>10.0</v>
      </c>
      <c r="C20" s="89">
        <v>8.0</v>
      </c>
      <c r="D20" s="89">
        <v>10.0</v>
      </c>
      <c r="E20" s="89">
        <v>10.0</v>
      </c>
      <c r="F20" s="89">
        <v>10.0</v>
      </c>
      <c r="G20" s="89">
        <v>12.0</v>
      </c>
      <c r="H20" s="90">
        <f>SUM(B20:G20)</f>
        <v>60</v>
      </c>
      <c r="I20" s="38"/>
      <c r="J20" s="38"/>
      <c r="K20" s="38"/>
      <c r="M20" s="2"/>
      <c r="N20" s="57" t="s">
        <v>14</v>
      </c>
      <c r="O20" s="72">
        <v>2.0</v>
      </c>
      <c r="P20" s="72">
        <v>3.0</v>
      </c>
      <c r="Q20" s="72">
        <v>2.0</v>
      </c>
      <c r="R20" s="72">
        <v>3.0</v>
      </c>
      <c r="S20" s="75">
        <v>3.0</v>
      </c>
      <c r="T20" s="20"/>
      <c r="U20" s="72">
        <v>2.0</v>
      </c>
      <c r="V20" s="72">
        <v>1.0</v>
      </c>
      <c r="W20" s="72">
        <v>3.0</v>
      </c>
      <c r="X20" s="72">
        <v>1.0</v>
      </c>
      <c r="Y20" s="75">
        <v>3.0</v>
      </c>
      <c r="Z20" s="20"/>
      <c r="AA20" s="72">
        <v>2.0</v>
      </c>
      <c r="AB20" s="72">
        <v>2.0</v>
      </c>
      <c r="AE20" s="37">
        <v>45.0</v>
      </c>
      <c r="AF20" s="37">
        <v>54.0</v>
      </c>
      <c r="AG20" s="37">
        <v>2.0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ht="52.5" customHeight="1">
      <c r="I21" s="38"/>
      <c r="J21" s="38"/>
      <c r="K21" s="38"/>
      <c r="M21" s="2"/>
      <c r="N21" s="83" t="s">
        <v>71</v>
      </c>
      <c r="O21" s="91">
        <v>2.67</v>
      </c>
      <c r="P21" s="91">
        <v>2.67</v>
      </c>
      <c r="Q21" s="91">
        <v>2.0</v>
      </c>
      <c r="R21" s="92">
        <v>2.6</v>
      </c>
      <c r="S21" s="93">
        <v>2.5</v>
      </c>
      <c r="T21" s="20"/>
      <c r="U21" s="91">
        <v>1.16</v>
      </c>
      <c r="V21" s="91">
        <v>1.0</v>
      </c>
      <c r="W21" s="91">
        <v>1.5</v>
      </c>
      <c r="X21" s="92">
        <v>1.0</v>
      </c>
      <c r="Y21" s="93">
        <v>2.67</v>
      </c>
      <c r="Z21" s="20"/>
      <c r="AA21" s="91">
        <v>2.0</v>
      </c>
      <c r="AB21" s="91">
        <v>2.0</v>
      </c>
      <c r="AE21" s="37">
        <v>0.0</v>
      </c>
      <c r="AF21" s="37">
        <v>44.0</v>
      </c>
      <c r="AG21" s="37">
        <v>1.0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ht="45.75" customHeight="1">
      <c r="M22" s="2"/>
      <c r="N22" s="94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ht="24.0" customHeight="1">
      <c r="I23" s="38"/>
      <c r="M23" s="2"/>
      <c r="S23" s="40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ht="14.25" customHeight="1">
      <c r="A24" s="96" t="s">
        <v>73</v>
      </c>
      <c r="B24" s="97"/>
      <c r="C24" s="97"/>
      <c r="D24" s="97"/>
      <c r="E24" s="97"/>
      <c r="F24" s="97"/>
      <c r="G24" s="97"/>
      <c r="H24" s="97"/>
      <c r="I24" s="97"/>
      <c r="M24" s="2"/>
      <c r="S24" s="40"/>
      <c r="W24" s="38" t="s">
        <v>74</v>
      </c>
      <c r="X24" s="38"/>
      <c r="Y24" s="38"/>
      <c r="Z24" s="38"/>
      <c r="AA24" s="38"/>
      <c r="AB24" s="38"/>
      <c r="AC24" s="38"/>
      <c r="AD24" s="40"/>
      <c r="AE24" s="40"/>
      <c r="AF24" s="40"/>
      <c r="AG24" s="40"/>
      <c r="AH24" s="40"/>
      <c r="AI24" s="38"/>
      <c r="AJ24" s="38"/>
      <c r="AK24" s="38"/>
      <c r="AL24" s="38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ht="14.25" customHeight="1">
      <c r="B25" s="97"/>
      <c r="C25" s="97"/>
      <c r="D25" s="97"/>
      <c r="E25" s="97"/>
      <c r="I25" s="97"/>
      <c r="M25" s="2"/>
      <c r="S25" s="40"/>
      <c r="U25" s="98" t="s">
        <v>75</v>
      </c>
      <c r="V25" s="19"/>
      <c r="W25" s="19"/>
      <c r="X25" s="19"/>
      <c r="Y25" s="19"/>
      <c r="Z25" s="20"/>
      <c r="AA25" s="99"/>
      <c r="AG25" s="99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ht="14.25" customHeight="1">
      <c r="A26" s="100" t="s">
        <v>76</v>
      </c>
      <c r="B26" s="100" t="s">
        <v>77</v>
      </c>
      <c r="C26" s="102" t="s">
        <v>78</v>
      </c>
      <c r="D26" s="19"/>
      <c r="E26" s="19"/>
      <c r="F26" s="20"/>
      <c r="G26" s="103"/>
      <c r="H26" s="104" t="s">
        <v>79</v>
      </c>
      <c r="I26" s="19"/>
      <c r="J26" s="19"/>
      <c r="K26" s="20"/>
      <c r="L26" s="105"/>
      <c r="M26" s="106" t="s">
        <v>72</v>
      </c>
      <c r="N26" s="19"/>
      <c r="O26" s="19"/>
      <c r="P26" s="19"/>
      <c r="Q26" s="19"/>
      <c r="R26" s="20"/>
      <c r="S26" s="107" t="s">
        <v>80</v>
      </c>
      <c r="T26" s="108" t="s">
        <v>25</v>
      </c>
      <c r="U26" s="109" t="s">
        <v>81</v>
      </c>
      <c r="V26" s="19"/>
      <c r="W26" s="19"/>
      <c r="X26" s="19"/>
      <c r="Y26" s="19"/>
      <c r="Z26" s="20"/>
      <c r="AA26" s="110"/>
      <c r="AG26" s="110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ht="14.25" customHeight="1">
      <c r="A27" s="111"/>
      <c r="B27" s="111"/>
      <c r="C27" s="112" t="s">
        <v>8</v>
      </c>
      <c r="D27" s="112" t="s">
        <v>9</v>
      </c>
      <c r="E27" s="112" t="s">
        <v>11</v>
      </c>
      <c r="F27" s="112" t="s">
        <v>82</v>
      </c>
      <c r="G27" s="112" t="s">
        <v>83</v>
      </c>
      <c r="H27" s="113" t="s">
        <v>12</v>
      </c>
      <c r="I27" s="113" t="s">
        <v>13</v>
      </c>
      <c r="J27" s="113" t="s">
        <v>14</v>
      </c>
      <c r="K27" s="113" t="s">
        <v>82</v>
      </c>
      <c r="L27" s="112" t="s">
        <v>83</v>
      </c>
      <c r="M27" s="114" t="s">
        <v>8</v>
      </c>
      <c r="N27" s="114" t="s">
        <v>9</v>
      </c>
      <c r="O27" s="114" t="s">
        <v>11</v>
      </c>
      <c r="P27" s="114" t="s">
        <v>12</v>
      </c>
      <c r="Q27" s="114" t="s">
        <v>13</v>
      </c>
      <c r="R27" s="115" t="s">
        <v>14</v>
      </c>
      <c r="S27" s="58"/>
      <c r="T27" s="117"/>
      <c r="U27" s="118" t="s">
        <v>84</v>
      </c>
      <c r="V27" s="118" t="s">
        <v>85</v>
      </c>
      <c r="W27" s="118" t="s">
        <v>86</v>
      </c>
      <c r="X27" s="118" t="s">
        <v>87</v>
      </c>
      <c r="Y27" s="118" t="s">
        <v>88</v>
      </c>
      <c r="Z27" s="118" t="s">
        <v>89</v>
      </c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ht="14.25" customHeight="1">
      <c r="A28" s="58"/>
      <c r="B28" s="58"/>
      <c r="C28" s="123">
        <v>10.0</v>
      </c>
      <c r="D28" s="123">
        <v>10.0</v>
      </c>
      <c r="E28" s="123">
        <v>10.0</v>
      </c>
      <c r="F28" s="124">
        <f t="shared" ref="F28:F109" si="5">SUM(C28:E28)</f>
        <v>30</v>
      </c>
      <c r="G28" s="125">
        <f t="shared" ref="G28:G109" si="6">F28*100/$F$28</f>
        <v>100</v>
      </c>
      <c r="H28" s="126">
        <v>10.0</v>
      </c>
      <c r="I28" s="126">
        <v>10.0</v>
      </c>
      <c r="J28" s="126">
        <v>10.0</v>
      </c>
      <c r="K28" s="124">
        <f t="shared" ref="K28:K100" si="7">SUM(H28:J28)</f>
        <v>30</v>
      </c>
      <c r="L28" s="125">
        <f t="shared" ref="L28:L109" si="8">K28*100/$K$28</f>
        <v>100</v>
      </c>
      <c r="M28" s="129">
        <v>10.0</v>
      </c>
      <c r="N28" s="129">
        <v>12.0</v>
      </c>
      <c r="O28" s="129">
        <v>12.0</v>
      </c>
      <c r="P28" s="129">
        <v>10.0</v>
      </c>
      <c r="Q28" s="129">
        <v>8.0</v>
      </c>
      <c r="R28" s="129">
        <v>8.0</v>
      </c>
      <c r="S28" s="131">
        <v>60.0</v>
      </c>
      <c r="T28" s="133">
        <v>10.0</v>
      </c>
      <c r="U28" s="135">
        <f t="shared" ref="U28:U109" si="9">((IF($C$27="CO1",C28*100/$C$28,IF($D$27="CO1",D28*100/$D$28,IF($E$27="CO1",E28*100/$E$28)))+IF($H$27="CO1",H28*100/$H$28,IF($I$27="CO1",I28*100/$I$28,IF($J$27="CO1",J28*100/$J$28)))+(T28*100/$T$28))/(COUNTIF($C$27:$L$27,"CO1")+1))*0.4+((M28*100/$M$28)*0.6)</f>
        <v>100</v>
      </c>
      <c r="V28" s="135">
        <f t="shared" ref="V28:V109" si="10">((IF($C$27="CO2",C28*100/$C$28,IF($D$27="CO2",D28*100/$D$28,IF($E$27="CO2",E28*100/$E$28)))+IF($H$27="CO2",H28*100/$H$28,IF($I$27="CO2",I28*100/$I$28,IF($J$27="CO2",J28*100/$J$28)))+(T28*100/$T$28))/(COUNTIF($C$27:$L$27,"CO2")+1))*0.4+((N28*100/$N$28)*0.6)</f>
        <v>100</v>
      </c>
      <c r="W28" s="135">
        <f t="shared" ref="W28:W109" si="11">((IF($C$27="CO3",C28*100/$C$28,IF($D$27="CO3",D28*100/$D$28,IF($E$27="CO3",E28*100/$E$28)))+IF($H$27="CO3",H28*100/$H$28,IF($I$27="CO3",I28*100/$I$28,IF($J$27="CO3",J28*100/$J$28)))+(T28*100/$T$28))/(COUNTIF($C$27:$L$27,"CO3")+1))*0.4+((O28*100/$O$28)*0.6)</f>
        <v>100</v>
      </c>
      <c r="X28" s="135">
        <f t="shared" ref="X28:X109" si="12">((IF($C$27="CO4",C28*100/$C$28,IF($D$27="CO4",D28*100/$D$28,IF($E$27="CO4",E28*100/$E$28)))+IF($H$27="CO4",H28*100/$H$28,IF($I$27="CO4",I28*100/$I$28,IF($J$27="CO4",J28*100/$J$28)))+(T28*100/$T$28))/(COUNTIF($C$27:$L$27,"CO4")+1))*0.4+((P28*100/$P$28)*0.6)</f>
        <v>100</v>
      </c>
      <c r="Y28" s="135">
        <f t="shared" ref="Y28:Y109" si="13">((IF($C$27="CO5",C28*100/$C$28,IF($D$27="CO5",D28*100/$D$28,IF($E$27="CO5",E28*100/$E$28)))+IF($H$27="CO5",H28*100/$H$28,IF($I$27="CO5",I28*100/$I$28,IF($J$27="CO5",J28*100/$J$28)))+(T28*100/$T$28))/(COUNTIF($C$27:$L$27,"CO5")+1))*0.4+((Q28*100/$Q$28)*0.6)</f>
        <v>100</v>
      </c>
      <c r="Z28" s="135">
        <f t="shared" ref="Z28:Z109" si="14">((IF($C$27="CO6",C28*100/$C$28,IF($D$27="CO6",D28*100/$D$28,IF($E$27="CO6",E28*100/$E$28)))+IF($H$27="CO6",H28*100/$H$28,IF($I$27="CO6",I28*100/$I$28,IF($J$27="CO6",J28*100/$J$28)))+(T28*100/$T$28))/(COUNTIF($C$27:$L$27,"CO6")+1))*0.4+((R28*100/$R$28)*0.6)</f>
        <v>100</v>
      </c>
      <c r="AA28" s="137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ht="18.75" customHeight="1">
      <c r="A29" s="139">
        <v>102.0</v>
      </c>
      <c r="B29" s="140" t="s">
        <v>90</v>
      </c>
      <c r="C29" s="141">
        <v>8.0</v>
      </c>
      <c r="D29" s="141">
        <v>10.0</v>
      </c>
      <c r="E29" s="141">
        <v>5.0</v>
      </c>
      <c r="F29" s="142">
        <f t="shared" si="5"/>
        <v>23</v>
      </c>
      <c r="G29" s="143">
        <f t="shared" si="6"/>
        <v>76.66666667</v>
      </c>
      <c r="H29" s="141">
        <v>10.0</v>
      </c>
      <c r="I29" s="141">
        <v>8.0</v>
      </c>
      <c r="J29" s="141">
        <v>9.0</v>
      </c>
      <c r="K29" s="142">
        <f t="shared" si="7"/>
        <v>27</v>
      </c>
      <c r="L29" s="143">
        <f t="shared" si="8"/>
        <v>90</v>
      </c>
      <c r="M29" s="144">
        <v>9.0</v>
      </c>
      <c r="N29" s="144">
        <v>9.0</v>
      </c>
      <c r="O29" s="144">
        <v>8.0</v>
      </c>
      <c r="P29" s="144">
        <v>3.0</v>
      </c>
      <c r="Q29" s="144">
        <v>7.0</v>
      </c>
      <c r="R29" s="144">
        <v>8.0</v>
      </c>
      <c r="S29" s="145">
        <v>44.0</v>
      </c>
      <c r="T29" s="133">
        <v>10.0</v>
      </c>
      <c r="U29" s="135">
        <f t="shared" si="9"/>
        <v>90</v>
      </c>
      <c r="V29" s="135">
        <f t="shared" si="10"/>
        <v>85</v>
      </c>
      <c r="W29" s="135">
        <f t="shared" si="11"/>
        <v>70</v>
      </c>
      <c r="X29" s="135">
        <f t="shared" si="12"/>
        <v>58</v>
      </c>
      <c r="Y29" s="135">
        <f t="shared" si="13"/>
        <v>88.5</v>
      </c>
      <c r="Z29" s="135">
        <f t="shared" si="14"/>
        <v>98</v>
      </c>
      <c r="AA29" s="137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ht="18.75" customHeight="1">
      <c r="A30" s="139">
        <v>103.0</v>
      </c>
      <c r="B30" s="140" t="s">
        <v>91</v>
      </c>
      <c r="C30" s="141">
        <v>9.0</v>
      </c>
      <c r="D30" s="141">
        <v>9.0</v>
      </c>
      <c r="E30" s="141">
        <v>10.0</v>
      </c>
      <c r="F30" s="142">
        <f t="shared" si="5"/>
        <v>28</v>
      </c>
      <c r="G30" s="143">
        <f t="shared" si="6"/>
        <v>93.33333333</v>
      </c>
      <c r="H30" s="141">
        <v>10.0</v>
      </c>
      <c r="I30" s="141">
        <v>6.0</v>
      </c>
      <c r="J30" s="141">
        <v>6.0</v>
      </c>
      <c r="K30" s="142">
        <f t="shared" si="7"/>
        <v>22</v>
      </c>
      <c r="L30" s="143">
        <f t="shared" si="8"/>
        <v>73.33333333</v>
      </c>
      <c r="M30" s="144">
        <v>3.0</v>
      </c>
      <c r="N30" s="144">
        <v>5.0</v>
      </c>
      <c r="O30" s="144">
        <v>6.0</v>
      </c>
      <c r="P30" s="144">
        <v>0.0</v>
      </c>
      <c r="Q30" s="144">
        <v>2.0</v>
      </c>
      <c r="R30" s="144">
        <v>4.0</v>
      </c>
      <c r="S30" s="145">
        <v>20.0</v>
      </c>
      <c r="T30" s="133">
        <v>10.0</v>
      </c>
      <c r="U30" s="135">
        <f t="shared" si="9"/>
        <v>56</v>
      </c>
      <c r="V30" s="135">
        <f t="shared" si="10"/>
        <v>63</v>
      </c>
      <c r="W30" s="135">
        <f t="shared" si="11"/>
        <v>70</v>
      </c>
      <c r="X30" s="135">
        <f t="shared" si="12"/>
        <v>40</v>
      </c>
      <c r="Y30" s="135">
        <f t="shared" si="13"/>
        <v>47</v>
      </c>
      <c r="Z30" s="135">
        <f t="shared" si="14"/>
        <v>62</v>
      </c>
      <c r="AA30" s="137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ht="18.75" customHeight="1">
      <c r="A31" s="139">
        <v>104.0</v>
      </c>
      <c r="B31" s="140" t="s">
        <v>92</v>
      </c>
      <c r="C31" s="141">
        <v>7.0</v>
      </c>
      <c r="D31" s="141">
        <v>5.0</v>
      </c>
      <c r="E31" s="141">
        <v>10.0</v>
      </c>
      <c r="F31" s="142">
        <f t="shared" si="5"/>
        <v>22</v>
      </c>
      <c r="G31" s="143">
        <f t="shared" si="6"/>
        <v>73.33333333</v>
      </c>
      <c r="H31" s="141">
        <v>10.0</v>
      </c>
      <c r="I31" s="141">
        <v>9.0</v>
      </c>
      <c r="J31" s="141">
        <v>3.0</v>
      </c>
      <c r="K31" s="142">
        <f t="shared" si="7"/>
        <v>22</v>
      </c>
      <c r="L31" s="143">
        <f t="shared" si="8"/>
        <v>73.33333333</v>
      </c>
      <c r="M31" s="144">
        <v>8.0</v>
      </c>
      <c r="N31" s="144">
        <v>4.0</v>
      </c>
      <c r="O31" s="144">
        <v>10.0</v>
      </c>
      <c r="P31" s="144">
        <v>0.0</v>
      </c>
      <c r="Q31" s="144">
        <v>2.0</v>
      </c>
      <c r="R31" s="144">
        <v>2.0</v>
      </c>
      <c r="S31" s="145">
        <v>26.0</v>
      </c>
      <c r="T31" s="133">
        <v>10.0</v>
      </c>
      <c r="U31" s="135">
        <f t="shared" si="9"/>
        <v>82</v>
      </c>
      <c r="V31" s="135">
        <f t="shared" si="10"/>
        <v>50</v>
      </c>
      <c r="W31" s="135">
        <f t="shared" si="11"/>
        <v>90</v>
      </c>
      <c r="X31" s="135">
        <f t="shared" si="12"/>
        <v>40</v>
      </c>
      <c r="Y31" s="135">
        <f t="shared" si="13"/>
        <v>53</v>
      </c>
      <c r="Z31" s="135">
        <f t="shared" si="14"/>
        <v>41</v>
      </c>
      <c r="AA31" s="137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ht="18.75" customHeight="1">
      <c r="A32" s="139">
        <v>105.0</v>
      </c>
      <c r="B32" s="140" t="s">
        <v>93</v>
      </c>
      <c r="C32" s="141">
        <v>8.0</v>
      </c>
      <c r="D32" s="141">
        <v>10.0</v>
      </c>
      <c r="E32" s="141">
        <v>10.0</v>
      </c>
      <c r="F32" s="142">
        <f t="shared" si="5"/>
        <v>28</v>
      </c>
      <c r="G32" s="143">
        <f t="shared" si="6"/>
        <v>93.33333333</v>
      </c>
      <c r="H32" s="141">
        <v>10.0</v>
      </c>
      <c r="I32" s="141">
        <v>10.0</v>
      </c>
      <c r="J32" s="141">
        <v>10.0</v>
      </c>
      <c r="K32" s="142">
        <f t="shared" si="7"/>
        <v>30</v>
      </c>
      <c r="L32" s="143">
        <f t="shared" si="8"/>
        <v>100</v>
      </c>
      <c r="M32" s="144">
        <v>9.0</v>
      </c>
      <c r="N32" s="144">
        <v>9.0</v>
      </c>
      <c r="O32" s="144">
        <v>8.0</v>
      </c>
      <c r="P32" s="144">
        <v>3.0</v>
      </c>
      <c r="Q32" s="144">
        <v>5.0</v>
      </c>
      <c r="R32" s="144">
        <v>5.0</v>
      </c>
      <c r="S32" s="145">
        <v>39.0</v>
      </c>
      <c r="T32" s="133">
        <v>10.0</v>
      </c>
      <c r="U32" s="135">
        <f t="shared" si="9"/>
        <v>90</v>
      </c>
      <c r="V32" s="135">
        <f t="shared" si="10"/>
        <v>85</v>
      </c>
      <c r="W32" s="135">
        <f t="shared" si="11"/>
        <v>80</v>
      </c>
      <c r="X32" s="135">
        <f t="shared" si="12"/>
        <v>58</v>
      </c>
      <c r="Y32" s="135">
        <f t="shared" si="13"/>
        <v>77.5</v>
      </c>
      <c r="Z32" s="135">
        <f t="shared" si="14"/>
        <v>77.5</v>
      </c>
      <c r="AA32" s="137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ht="18.75" customHeight="1">
      <c r="A33" s="139">
        <v>106.0</v>
      </c>
      <c r="B33" s="140" t="s">
        <v>94</v>
      </c>
      <c r="C33" s="141">
        <v>10.0</v>
      </c>
      <c r="D33" s="141">
        <v>10.0</v>
      </c>
      <c r="E33" s="141">
        <v>8.0</v>
      </c>
      <c r="F33" s="142">
        <f t="shared" si="5"/>
        <v>28</v>
      </c>
      <c r="G33" s="143">
        <f t="shared" si="6"/>
        <v>93.33333333</v>
      </c>
      <c r="H33" s="141">
        <v>10.0</v>
      </c>
      <c r="I33" s="141">
        <v>10.0</v>
      </c>
      <c r="J33" s="141">
        <v>10.0</v>
      </c>
      <c r="K33" s="142">
        <f t="shared" si="7"/>
        <v>30</v>
      </c>
      <c r="L33" s="143">
        <f t="shared" si="8"/>
        <v>100</v>
      </c>
      <c r="M33" s="144">
        <v>7.0</v>
      </c>
      <c r="N33" s="144">
        <v>8.0</v>
      </c>
      <c r="O33" s="144">
        <v>10.0</v>
      </c>
      <c r="P33" s="144">
        <v>5.0</v>
      </c>
      <c r="Q33" s="144">
        <v>8.0</v>
      </c>
      <c r="R33" s="144">
        <v>8.0</v>
      </c>
      <c r="S33" s="145">
        <v>46.0</v>
      </c>
      <c r="T33" s="133">
        <v>10.0</v>
      </c>
      <c r="U33" s="135">
        <f t="shared" si="9"/>
        <v>82</v>
      </c>
      <c r="V33" s="135">
        <f t="shared" si="10"/>
        <v>80</v>
      </c>
      <c r="W33" s="135">
        <f t="shared" si="11"/>
        <v>86</v>
      </c>
      <c r="X33" s="135">
        <f t="shared" si="12"/>
        <v>70</v>
      </c>
      <c r="Y33" s="135">
        <f t="shared" si="13"/>
        <v>100</v>
      </c>
      <c r="Z33" s="135">
        <f t="shared" si="14"/>
        <v>100</v>
      </c>
      <c r="AA33" s="137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ht="18.75" customHeight="1">
      <c r="A34" s="139">
        <v>107.0</v>
      </c>
      <c r="B34" s="140" t="s">
        <v>95</v>
      </c>
      <c r="C34" s="141">
        <v>10.0</v>
      </c>
      <c r="D34" s="141">
        <v>2.0</v>
      </c>
      <c r="E34" s="141">
        <v>9.0</v>
      </c>
      <c r="F34" s="142">
        <f t="shared" si="5"/>
        <v>21</v>
      </c>
      <c r="G34" s="143">
        <f t="shared" si="6"/>
        <v>70</v>
      </c>
      <c r="H34" s="141">
        <v>4.0</v>
      </c>
      <c r="I34" s="141">
        <v>8.0</v>
      </c>
      <c r="J34" s="141">
        <v>7.0</v>
      </c>
      <c r="K34" s="142">
        <f t="shared" si="7"/>
        <v>19</v>
      </c>
      <c r="L34" s="143">
        <f t="shared" si="8"/>
        <v>63.33333333</v>
      </c>
      <c r="M34" s="144">
        <v>8.0</v>
      </c>
      <c r="N34" s="144">
        <v>4.0</v>
      </c>
      <c r="O34" s="144">
        <v>4.0</v>
      </c>
      <c r="P34" s="144">
        <v>3.0</v>
      </c>
      <c r="Q34" s="144">
        <v>0.0</v>
      </c>
      <c r="R34" s="144">
        <v>3.0</v>
      </c>
      <c r="S34" s="145">
        <v>22.0</v>
      </c>
      <c r="T34" s="133">
        <v>10.0</v>
      </c>
      <c r="U34" s="135">
        <f t="shared" si="9"/>
        <v>88</v>
      </c>
      <c r="V34" s="135">
        <f t="shared" si="10"/>
        <v>44</v>
      </c>
      <c r="W34" s="135">
        <f t="shared" si="11"/>
        <v>58</v>
      </c>
      <c r="X34" s="135">
        <f t="shared" si="12"/>
        <v>46</v>
      </c>
      <c r="Y34" s="135">
        <f t="shared" si="13"/>
        <v>36</v>
      </c>
      <c r="Z34" s="135">
        <f t="shared" si="14"/>
        <v>56.5</v>
      </c>
      <c r="AA34" s="137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ht="18.75" customHeight="1">
      <c r="A35" s="139">
        <v>114.0</v>
      </c>
      <c r="B35" s="140" t="s">
        <v>96</v>
      </c>
      <c r="C35" s="141">
        <v>10.0</v>
      </c>
      <c r="D35" s="141">
        <v>5.0</v>
      </c>
      <c r="E35" s="141">
        <v>10.0</v>
      </c>
      <c r="F35" s="142">
        <f t="shared" si="5"/>
        <v>25</v>
      </c>
      <c r="G35" s="143">
        <f t="shared" si="6"/>
        <v>83.33333333</v>
      </c>
      <c r="H35" s="141">
        <v>9.0</v>
      </c>
      <c r="I35" s="141">
        <v>9.0</v>
      </c>
      <c r="J35" s="141">
        <v>7.0</v>
      </c>
      <c r="K35" s="142">
        <f t="shared" si="7"/>
        <v>25</v>
      </c>
      <c r="L35" s="143">
        <f t="shared" si="8"/>
        <v>83.33333333</v>
      </c>
      <c r="M35" s="144">
        <v>8.0</v>
      </c>
      <c r="N35" s="144">
        <v>6.0</v>
      </c>
      <c r="O35" s="144">
        <v>7.0</v>
      </c>
      <c r="P35" s="144">
        <v>4.0</v>
      </c>
      <c r="Q35" s="144">
        <v>8.0</v>
      </c>
      <c r="R35" s="144">
        <v>3.0</v>
      </c>
      <c r="S35" s="145">
        <v>36.0</v>
      </c>
      <c r="T35" s="133">
        <v>10.0</v>
      </c>
      <c r="U35" s="135">
        <f t="shared" si="9"/>
        <v>88</v>
      </c>
      <c r="V35" s="135">
        <f t="shared" si="10"/>
        <v>60</v>
      </c>
      <c r="W35" s="135">
        <f t="shared" si="11"/>
        <v>75</v>
      </c>
      <c r="X35" s="135">
        <f t="shared" si="12"/>
        <v>62</v>
      </c>
      <c r="Y35" s="135">
        <f t="shared" si="13"/>
        <v>98</v>
      </c>
      <c r="Z35" s="135">
        <f t="shared" si="14"/>
        <v>56.5</v>
      </c>
      <c r="AA35" s="137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ht="18.75" customHeight="1">
      <c r="A36" s="139">
        <v>115.0</v>
      </c>
      <c r="B36" s="140" t="s">
        <v>97</v>
      </c>
      <c r="C36" s="141">
        <v>9.0</v>
      </c>
      <c r="D36" s="141">
        <v>9.0</v>
      </c>
      <c r="E36" s="141">
        <v>6.0</v>
      </c>
      <c r="F36" s="142">
        <f t="shared" si="5"/>
        <v>24</v>
      </c>
      <c r="G36" s="143">
        <f t="shared" si="6"/>
        <v>80</v>
      </c>
      <c r="H36" s="141">
        <v>8.0</v>
      </c>
      <c r="I36" s="141">
        <v>10.0</v>
      </c>
      <c r="J36" s="155"/>
      <c r="K36" s="142">
        <f t="shared" si="7"/>
        <v>18</v>
      </c>
      <c r="L36" s="143">
        <f t="shared" si="8"/>
        <v>60</v>
      </c>
      <c r="M36" s="144">
        <v>8.0</v>
      </c>
      <c r="N36" s="144">
        <v>6.0</v>
      </c>
      <c r="O36" s="144">
        <v>5.0</v>
      </c>
      <c r="P36" s="144">
        <v>4.0</v>
      </c>
      <c r="Q36" s="144">
        <v>7.0</v>
      </c>
      <c r="R36" s="144">
        <v>2.0</v>
      </c>
      <c r="S36" s="145">
        <v>32.0</v>
      </c>
      <c r="T36" s="133">
        <v>10.0</v>
      </c>
      <c r="U36" s="135">
        <f t="shared" si="9"/>
        <v>86</v>
      </c>
      <c r="V36" s="135">
        <f t="shared" si="10"/>
        <v>68</v>
      </c>
      <c r="W36" s="135">
        <f t="shared" si="11"/>
        <v>57</v>
      </c>
      <c r="X36" s="135">
        <f t="shared" si="12"/>
        <v>60</v>
      </c>
      <c r="Y36" s="135">
        <f t="shared" si="13"/>
        <v>92.5</v>
      </c>
      <c r="Z36" s="135">
        <f t="shared" si="14"/>
        <v>35</v>
      </c>
      <c r="AA36" s="137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ht="18.75" customHeight="1">
      <c r="A37" s="139">
        <v>116.0</v>
      </c>
      <c r="B37" s="140" t="s">
        <v>98</v>
      </c>
      <c r="C37" s="141">
        <v>10.0</v>
      </c>
      <c r="D37" s="141">
        <v>10.0</v>
      </c>
      <c r="E37" s="141">
        <v>7.0</v>
      </c>
      <c r="F37" s="142">
        <f t="shared" si="5"/>
        <v>27</v>
      </c>
      <c r="G37" s="143">
        <f t="shared" si="6"/>
        <v>90</v>
      </c>
      <c r="H37" s="141">
        <v>10.0</v>
      </c>
      <c r="I37" s="141">
        <v>9.0</v>
      </c>
      <c r="J37" s="141">
        <v>9.0</v>
      </c>
      <c r="K37" s="142">
        <f t="shared" si="7"/>
        <v>28</v>
      </c>
      <c r="L37" s="143">
        <f t="shared" si="8"/>
        <v>93.33333333</v>
      </c>
      <c r="M37" s="144">
        <v>7.0</v>
      </c>
      <c r="N37" s="144">
        <v>9.0</v>
      </c>
      <c r="O37" s="144">
        <v>12.0</v>
      </c>
      <c r="P37" s="144">
        <v>9.0</v>
      </c>
      <c r="Q37" s="144">
        <v>4.0</v>
      </c>
      <c r="R37" s="144">
        <v>7.0</v>
      </c>
      <c r="S37" s="145">
        <v>48.0</v>
      </c>
      <c r="T37" s="133">
        <v>10.0</v>
      </c>
      <c r="U37" s="135">
        <f t="shared" si="9"/>
        <v>82</v>
      </c>
      <c r="V37" s="135">
        <f t="shared" si="10"/>
        <v>85</v>
      </c>
      <c r="W37" s="135">
        <f t="shared" si="11"/>
        <v>94</v>
      </c>
      <c r="X37" s="135">
        <f t="shared" si="12"/>
        <v>94</v>
      </c>
      <c r="Y37" s="135">
        <f t="shared" si="13"/>
        <v>68</v>
      </c>
      <c r="Z37" s="135">
        <f t="shared" si="14"/>
        <v>90.5</v>
      </c>
      <c r="AA37" s="137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ht="18.75" customHeight="1">
      <c r="A38" s="139">
        <v>117.0</v>
      </c>
      <c r="B38" s="140" t="s">
        <v>99</v>
      </c>
      <c r="C38" s="141">
        <v>9.0</v>
      </c>
      <c r="D38" s="141">
        <v>9.0</v>
      </c>
      <c r="E38" s="141">
        <v>8.0</v>
      </c>
      <c r="F38" s="142">
        <f t="shared" si="5"/>
        <v>26</v>
      </c>
      <c r="G38" s="143">
        <f t="shared" si="6"/>
        <v>86.66666667</v>
      </c>
      <c r="H38" s="141">
        <v>7.0</v>
      </c>
      <c r="I38" s="141">
        <v>8.0</v>
      </c>
      <c r="J38" s="155"/>
      <c r="K38" s="142">
        <f t="shared" si="7"/>
        <v>15</v>
      </c>
      <c r="L38" s="143">
        <f t="shared" si="8"/>
        <v>50</v>
      </c>
      <c r="M38" s="144">
        <v>7.0</v>
      </c>
      <c r="N38" s="144">
        <v>7.0</v>
      </c>
      <c r="O38" s="144">
        <v>9.0</v>
      </c>
      <c r="P38" s="144">
        <v>2.0</v>
      </c>
      <c r="Q38" s="144">
        <v>7.0</v>
      </c>
      <c r="R38" s="144">
        <v>6.0</v>
      </c>
      <c r="S38" s="145">
        <v>38.0</v>
      </c>
      <c r="T38" s="133">
        <v>10.0</v>
      </c>
      <c r="U38" s="135">
        <f t="shared" si="9"/>
        <v>80</v>
      </c>
      <c r="V38" s="135">
        <f t="shared" si="10"/>
        <v>73</v>
      </c>
      <c r="W38" s="135">
        <f t="shared" si="11"/>
        <v>81</v>
      </c>
      <c r="X38" s="135">
        <f t="shared" si="12"/>
        <v>46</v>
      </c>
      <c r="Y38" s="135">
        <f t="shared" si="13"/>
        <v>88.5</v>
      </c>
      <c r="Z38" s="135">
        <f t="shared" si="14"/>
        <v>65</v>
      </c>
      <c r="AA38" s="137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ht="18.75" customHeight="1">
      <c r="A39" s="139">
        <v>122.0</v>
      </c>
      <c r="B39" s="140" t="s">
        <v>100</v>
      </c>
      <c r="C39" s="141">
        <v>9.0</v>
      </c>
      <c r="D39" s="141">
        <v>10.0</v>
      </c>
      <c r="E39" s="141">
        <v>6.0</v>
      </c>
      <c r="F39" s="142">
        <f t="shared" si="5"/>
        <v>25</v>
      </c>
      <c r="G39" s="143">
        <f t="shared" si="6"/>
        <v>83.33333333</v>
      </c>
      <c r="H39" s="141">
        <v>9.0</v>
      </c>
      <c r="I39" s="141">
        <v>6.0</v>
      </c>
      <c r="J39" s="141">
        <v>4.0</v>
      </c>
      <c r="K39" s="142">
        <f t="shared" si="7"/>
        <v>19</v>
      </c>
      <c r="L39" s="143">
        <f t="shared" si="8"/>
        <v>63.33333333</v>
      </c>
      <c r="M39" s="144">
        <v>8.0</v>
      </c>
      <c r="N39" s="144">
        <v>7.0</v>
      </c>
      <c r="O39" s="144">
        <v>7.0</v>
      </c>
      <c r="P39" s="144">
        <v>3.0</v>
      </c>
      <c r="Q39" s="144">
        <v>7.0</v>
      </c>
      <c r="R39" s="144">
        <v>7.0</v>
      </c>
      <c r="S39" s="145">
        <v>39.0</v>
      </c>
      <c r="T39" s="133">
        <v>10.0</v>
      </c>
      <c r="U39" s="135">
        <f t="shared" si="9"/>
        <v>86</v>
      </c>
      <c r="V39" s="135">
        <f t="shared" si="10"/>
        <v>75</v>
      </c>
      <c r="W39" s="135">
        <f t="shared" si="11"/>
        <v>67</v>
      </c>
      <c r="X39" s="135">
        <f t="shared" si="12"/>
        <v>56</v>
      </c>
      <c r="Y39" s="135">
        <f t="shared" si="13"/>
        <v>84.5</v>
      </c>
      <c r="Z39" s="135">
        <f t="shared" si="14"/>
        <v>80.5</v>
      </c>
      <c r="AA39" s="137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ht="18.75" customHeight="1">
      <c r="A40" s="139">
        <v>123.0</v>
      </c>
      <c r="B40" s="140" t="s">
        <v>101</v>
      </c>
      <c r="C40" s="141">
        <v>6.0</v>
      </c>
      <c r="D40" s="141">
        <v>5.0</v>
      </c>
      <c r="E40" s="141">
        <v>8.0</v>
      </c>
      <c r="F40" s="142">
        <f t="shared" si="5"/>
        <v>19</v>
      </c>
      <c r="G40" s="143">
        <f t="shared" si="6"/>
        <v>63.33333333</v>
      </c>
      <c r="H40" s="141">
        <v>10.0</v>
      </c>
      <c r="I40" s="141">
        <v>6.0</v>
      </c>
      <c r="J40" s="141">
        <v>7.0</v>
      </c>
      <c r="K40" s="142">
        <f t="shared" si="7"/>
        <v>23</v>
      </c>
      <c r="L40" s="143">
        <f t="shared" si="8"/>
        <v>76.66666667</v>
      </c>
      <c r="M40" s="144">
        <v>8.0</v>
      </c>
      <c r="N40" s="144">
        <v>4.0</v>
      </c>
      <c r="O40" s="144">
        <v>8.0</v>
      </c>
      <c r="P40" s="144">
        <v>4.0</v>
      </c>
      <c r="Q40" s="144">
        <v>7.0</v>
      </c>
      <c r="R40" s="144">
        <v>6.0</v>
      </c>
      <c r="S40" s="145">
        <v>37.0</v>
      </c>
      <c r="T40" s="133">
        <v>10.0</v>
      </c>
      <c r="U40" s="135">
        <f t="shared" si="9"/>
        <v>80</v>
      </c>
      <c r="V40" s="135">
        <f t="shared" si="10"/>
        <v>50</v>
      </c>
      <c r="W40" s="135">
        <f t="shared" si="11"/>
        <v>76</v>
      </c>
      <c r="X40" s="135">
        <f t="shared" si="12"/>
        <v>64</v>
      </c>
      <c r="Y40" s="135">
        <f t="shared" si="13"/>
        <v>84.5</v>
      </c>
      <c r="Z40" s="135">
        <f t="shared" si="14"/>
        <v>79</v>
      </c>
      <c r="AA40" s="137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ht="18.75" customHeight="1">
      <c r="A41" s="139">
        <v>124.0</v>
      </c>
      <c r="B41" s="140" t="s">
        <v>102</v>
      </c>
      <c r="C41" s="141">
        <v>7.0</v>
      </c>
      <c r="D41" s="141">
        <v>2.0</v>
      </c>
      <c r="E41" s="141">
        <v>9.0</v>
      </c>
      <c r="F41" s="142">
        <f t="shared" si="5"/>
        <v>18</v>
      </c>
      <c r="G41" s="143">
        <f t="shared" si="6"/>
        <v>60</v>
      </c>
      <c r="H41" s="141">
        <v>8.0</v>
      </c>
      <c r="I41" s="141">
        <v>7.0</v>
      </c>
      <c r="J41" s="141">
        <v>4.0</v>
      </c>
      <c r="K41" s="142">
        <f t="shared" si="7"/>
        <v>19</v>
      </c>
      <c r="L41" s="143">
        <f t="shared" si="8"/>
        <v>63.33333333</v>
      </c>
      <c r="M41" s="144">
        <v>7.0</v>
      </c>
      <c r="N41" s="144">
        <v>6.0</v>
      </c>
      <c r="O41" s="144">
        <v>5.0</v>
      </c>
      <c r="P41" s="144">
        <v>2.0</v>
      </c>
      <c r="Q41" s="144">
        <v>3.0</v>
      </c>
      <c r="R41" s="144">
        <v>4.0</v>
      </c>
      <c r="S41" s="145">
        <v>27.0</v>
      </c>
      <c r="T41" s="133">
        <v>10.0</v>
      </c>
      <c r="U41" s="135">
        <f t="shared" si="9"/>
        <v>76</v>
      </c>
      <c r="V41" s="135">
        <f t="shared" si="10"/>
        <v>54</v>
      </c>
      <c r="W41" s="135">
        <f t="shared" si="11"/>
        <v>63</v>
      </c>
      <c r="X41" s="135">
        <f t="shared" si="12"/>
        <v>48</v>
      </c>
      <c r="Y41" s="135">
        <f t="shared" si="13"/>
        <v>56.5</v>
      </c>
      <c r="Z41" s="135">
        <f t="shared" si="14"/>
        <v>58</v>
      </c>
      <c r="AA41" s="137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ht="18.75" customHeight="1">
      <c r="A42" s="139">
        <v>125.0</v>
      </c>
      <c r="B42" s="140" t="s">
        <v>103</v>
      </c>
      <c r="C42" s="141">
        <v>10.0</v>
      </c>
      <c r="D42" s="141">
        <v>10.0</v>
      </c>
      <c r="E42" s="141">
        <v>9.0</v>
      </c>
      <c r="F42" s="142">
        <f t="shared" si="5"/>
        <v>29</v>
      </c>
      <c r="G42" s="143">
        <f t="shared" si="6"/>
        <v>96.66666667</v>
      </c>
      <c r="H42" s="141">
        <v>8.0</v>
      </c>
      <c r="I42" s="141">
        <v>9.0</v>
      </c>
      <c r="J42" s="141">
        <v>10.0</v>
      </c>
      <c r="K42" s="142">
        <f t="shared" si="7"/>
        <v>27</v>
      </c>
      <c r="L42" s="143">
        <f t="shared" si="8"/>
        <v>90</v>
      </c>
      <c r="M42" s="144">
        <v>8.0</v>
      </c>
      <c r="N42" s="144">
        <v>9.0</v>
      </c>
      <c r="O42" s="144">
        <v>6.0</v>
      </c>
      <c r="P42" s="144">
        <v>2.0</v>
      </c>
      <c r="Q42" s="144">
        <v>7.0</v>
      </c>
      <c r="R42" s="144">
        <v>7.0</v>
      </c>
      <c r="S42" s="145">
        <v>39.0</v>
      </c>
      <c r="T42" s="133">
        <v>10.0</v>
      </c>
      <c r="U42" s="135">
        <f t="shared" si="9"/>
        <v>88</v>
      </c>
      <c r="V42" s="135">
        <f t="shared" si="10"/>
        <v>85</v>
      </c>
      <c r="W42" s="135">
        <f t="shared" si="11"/>
        <v>68</v>
      </c>
      <c r="X42" s="135">
        <f t="shared" si="12"/>
        <v>48</v>
      </c>
      <c r="Y42" s="135">
        <f t="shared" si="13"/>
        <v>90.5</v>
      </c>
      <c r="Z42" s="135">
        <f t="shared" si="14"/>
        <v>92.5</v>
      </c>
      <c r="AA42" s="137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ht="20.25" customHeight="1">
      <c r="A43" s="139">
        <v>127.0</v>
      </c>
      <c r="B43" s="140" t="s">
        <v>104</v>
      </c>
      <c r="C43" s="141">
        <v>1.0</v>
      </c>
      <c r="D43" s="141">
        <v>2.0</v>
      </c>
      <c r="E43" s="155"/>
      <c r="F43" s="142">
        <f t="shared" si="5"/>
        <v>3</v>
      </c>
      <c r="G43" s="143">
        <f t="shared" si="6"/>
        <v>10</v>
      </c>
      <c r="H43" s="141">
        <v>4.0</v>
      </c>
      <c r="I43" s="155"/>
      <c r="J43" s="155"/>
      <c r="K43" s="142">
        <f t="shared" si="7"/>
        <v>4</v>
      </c>
      <c r="L43" s="143">
        <f t="shared" si="8"/>
        <v>13.33333333</v>
      </c>
      <c r="M43" s="160">
        <v>2.0</v>
      </c>
      <c r="N43" s="160">
        <v>0.0</v>
      </c>
      <c r="O43" s="160">
        <v>0.0</v>
      </c>
      <c r="P43" s="160">
        <v>0.0</v>
      </c>
      <c r="Q43" s="160">
        <v>0.0</v>
      </c>
      <c r="R43" s="160">
        <v>0.0</v>
      </c>
      <c r="S43" s="145">
        <v>2.0</v>
      </c>
      <c r="T43" s="133">
        <v>5.0</v>
      </c>
      <c r="U43" s="135">
        <f t="shared" si="9"/>
        <v>24</v>
      </c>
      <c r="V43" s="135">
        <f t="shared" si="10"/>
        <v>14</v>
      </c>
      <c r="W43" s="135">
        <f t="shared" si="11"/>
        <v>10</v>
      </c>
      <c r="X43" s="135">
        <f t="shared" si="12"/>
        <v>18</v>
      </c>
      <c r="Y43" s="135">
        <f t="shared" si="13"/>
        <v>10</v>
      </c>
      <c r="Z43" s="135">
        <f t="shared" si="14"/>
        <v>10</v>
      </c>
      <c r="AA43" s="137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ht="18.75" customHeight="1">
      <c r="A44" s="139">
        <v>148.0</v>
      </c>
      <c r="B44" s="140" t="s">
        <v>105</v>
      </c>
      <c r="C44" s="141">
        <v>9.0</v>
      </c>
      <c r="D44" s="141">
        <v>10.0</v>
      </c>
      <c r="E44" s="141">
        <v>10.0</v>
      </c>
      <c r="F44" s="142">
        <f t="shared" si="5"/>
        <v>29</v>
      </c>
      <c r="G44" s="143">
        <f t="shared" si="6"/>
        <v>96.66666667</v>
      </c>
      <c r="H44" s="141">
        <v>10.0</v>
      </c>
      <c r="I44" s="141">
        <v>10.0</v>
      </c>
      <c r="J44" s="141">
        <v>9.0</v>
      </c>
      <c r="K44" s="142">
        <f t="shared" si="7"/>
        <v>29</v>
      </c>
      <c r="L44" s="143">
        <f t="shared" si="8"/>
        <v>96.66666667</v>
      </c>
      <c r="M44" s="144">
        <v>9.0</v>
      </c>
      <c r="N44" s="144">
        <v>9.0</v>
      </c>
      <c r="O44" s="144">
        <v>8.0</v>
      </c>
      <c r="P44" s="144">
        <v>2.0</v>
      </c>
      <c r="Q44" s="144">
        <v>5.0</v>
      </c>
      <c r="R44" s="144">
        <v>0.0</v>
      </c>
      <c r="S44" s="145">
        <v>33.0</v>
      </c>
      <c r="T44" s="133">
        <v>10.0</v>
      </c>
      <c r="U44" s="135">
        <f t="shared" si="9"/>
        <v>92</v>
      </c>
      <c r="V44" s="135">
        <f t="shared" si="10"/>
        <v>85</v>
      </c>
      <c r="W44" s="135">
        <f t="shared" si="11"/>
        <v>80</v>
      </c>
      <c r="X44" s="135">
        <f t="shared" si="12"/>
        <v>52</v>
      </c>
      <c r="Y44" s="135">
        <f t="shared" si="13"/>
        <v>77.5</v>
      </c>
      <c r="Z44" s="135">
        <f t="shared" si="14"/>
        <v>38</v>
      </c>
      <c r="AA44" s="137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ht="18.75" customHeight="1">
      <c r="A45" s="139">
        <v>150.0</v>
      </c>
      <c r="B45" s="140" t="s">
        <v>106</v>
      </c>
      <c r="C45" s="141">
        <v>2.0</v>
      </c>
      <c r="D45" s="155"/>
      <c r="E45" s="141">
        <v>2.0</v>
      </c>
      <c r="F45" s="142">
        <f t="shared" si="5"/>
        <v>4</v>
      </c>
      <c r="G45" s="143">
        <f t="shared" si="6"/>
        <v>13.33333333</v>
      </c>
      <c r="H45" s="141">
        <v>7.0</v>
      </c>
      <c r="I45" s="141">
        <v>6.0</v>
      </c>
      <c r="J45" s="141">
        <v>5.0</v>
      </c>
      <c r="K45" s="142">
        <f t="shared" si="7"/>
        <v>18</v>
      </c>
      <c r="L45" s="143">
        <f t="shared" si="8"/>
        <v>60</v>
      </c>
      <c r="M45" s="144">
        <v>7.0</v>
      </c>
      <c r="N45" s="144">
        <v>6.0</v>
      </c>
      <c r="O45" s="144">
        <v>5.0</v>
      </c>
      <c r="P45" s="144">
        <v>0.0</v>
      </c>
      <c r="Q45" s="144">
        <v>2.0</v>
      </c>
      <c r="R45" s="144">
        <v>6.0</v>
      </c>
      <c r="S45" s="145">
        <v>26.0</v>
      </c>
      <c r="T45" s="133">
        <v>10.0</v>
      </c>
      <c r="U45" s="135">
        <f t="shared" si="9"/>
        <v>66</v>
      </c>
      <c r="V45" s="135">
        <f t="shared" si="10"/>
        <v>50</v>
      </c>
      <c r="W45" s="135">
        <f t="shared" si="11"/>
        <v>49</v>
      </c>
      <c r="X45" s="135">
        <f t="shared" si="12"/>
        <v>34</v>
      </c>
      <c r="Y45" s="135">
        <f t="shared" si="13"/>
        <v>47</v>
      </c>
      <c r="Z45" s="135">
        <f t="shared" si="14"/>
        <v>75</v>
      </c>
      <c r="AA45" s="137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ht="18.75" customHeight="1">
      <c r="A46" s="139">
        <v>152.0</v>
      </c>
      <c r="B46" s="140" t="s">
        <v>107</v>
      </c>
      <c r="C46" s="141">
        <v>9.0</v>
      </c>
      <c r="D46" s="141">
        <v>7.0</v>
      </c>
      <c r="E46" s="141">
        <v>5.0</v>
      </c>
      <c r="F46" s="142">
        <f t="shared" si="5"/>
        <v>21</v>
      </c>
      <c r="G46" s="143">
        <f t="shared" si="6"/>
        <v>70</v>
      </c>
      <c r="H46" s="141">
        <v>10.0</v>
      </c>
      <c r="I46" s="141">
        <v>7.0</v>
      </c>
      <c r="J46" s="141">
        <v>10.0</v>
      </c>
      <c r="K46" s="142">
        <f t="shared" si="7"/>
        <v>27</v>
      </c>
      <c r="L46" s="143">
        <f t="shared" si="8"/>
        <v>90</v>
      </c>
      <c r="M46" s="144">
        <v>8.0</v>
      </c>
      <c r="N46" s="144">
        <v>12.0</v>
      </c>
      <c r="O46" s="144">
        <v>7.0</v>
      </c>
      <c r="P46" s="144">
        <v>0.0</v>
      </c>
      <c r="Q46" s="144">
        <v>2.0</v>
      </c>
      <c r="R46" s="144">
        <v>2.0</v>
      </c>
      <c r="S46" s="145">
        <v>31.0</v>
      </c>
      <c r="T46" s="133">
        <v>10.0</v>
      </c>
      <c r="U46" s="135">
        <f t="shared" si="9"/>
        <v>86</v>
      </c>
      <c r="V46" s="135">
        <f t="shared" si="10"/>
        <v>94</v>
      </c>
      <c r="W46" s="135">
        <f t="shared" si="11"/>
        <v>65</v>
      </c>
      <c r="X46" s="135">
        <f t="shared" si="12"/>
        <v>40</v>
      </c>
      <c r="Y46" s="135">
        <f t="shared" si="13"/>
        <v>49</v>
      </c>
      <c r="Z46" s="135">
        <f t="shared" si="14"/>
        <v>55</v>
      </c>
      <c r="AA46" s="137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ht="18.75" customHeight="1">
      <c r="A47" s="139">
        <v>156.0</v>
      </c>
      <c r="B47" s="140" t="s">
        <v>108</v>
      </c>
      <c r="C47" s="141">
        <v>1.0</v>
      </c>
      <c r="D47" s="155"/>
      <c r="E47" s="141">
        <v>6.0</v>
      </c>
      <c r="F47" s="142">
        <f t="shared" si="5"/>
        <v>7</v>
      </c>
      <c r="G47" s="143">
        <f t="shared" si="6"/>
        <v>23.33333333</v>
      </c>
      <c r="H47" s="141">
        <v>7.0</v>
      </c>
      <c r="I47" s="141">
        <v>4.0</v>
      </c>
      <c r="J47" s="155"/>
      <c r="K47" s="142">
        <f t="shared" si="7"/>
        <v>11</v>
      </c>
      <c r="L47" s="143">
        <f t="shared" si="8"/>
        <v>36.66666667</v>
      </c>
      <c r="M47" s="144">
        <v>4.0</v>
      </c>
      <c r="N47" s="144">
        <v>4.0</v>
      </c>
      <c r="O47" s="144">
        <v>9.0</v>
      </c>
      <c r="P47" s="144">
        <v>0.0</v>
      </c>
      <c r="Q47" s="144">
        <v>0.0</v>
      </c>
      <c r="R47" s="144">
        <v>3.0</v>
      </c>
      <c r="S47" s="145">
        <v>20.0</v>
      </c>
      <c r="T47" s="133">
        <v>10.0</v>
      </c>
      <c r="U47" s="135">
        <f t="shared" si="9"/>
        <v>46</v>
      </c>
      <c r="V47" s="135">
        <f t="shared" si="10"/>
        <v>40</v>
      </c>
      <c r="W47" s="135">
        <f t="shared" si="11"/>
        <v>77</v>
      </c>
      <c r="X47" s="135">
        <f t="shared" si="12"/>
        <v>34</v>
      </c>
      <c r="Y47" s="135">
        <f t="shared" si="13"/>
        <v>28</v>
      </c>
      <c r="Z47" s="135">
        <f t="shared" si="14"/>
        <v>42.5</v>
      </c>
      <c r="AA47" s="137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ht="18.75" customHeight="1">
      <c r="A48" s="139">
        <v>157.0</v>
      </c>
      <c r="B48" s="140" t="s">
        <v>109</v>
      </c>
      <c r="C48" s="155"/>
      <c r="D48" s="155"/>
      <c r="E48" s="141">
        <v>7.0</v>
      </c>
      <c r="F48" s="142">
        <f t="shared" si="5"/>
        <v>7</v>
      </c>
      <c r="G48" s="143">
        <f t="shared" si="6"/>
        <v>23.33333333</v>
      </c>
      <c r="H48" s="141">
        <v>8.0</v>
      </c>
      <c r="I48" s="141">
        <v>6.0</v>
      </c>
      <c r="J48" s="141">
        <v>5.0</v>
      </c>
      <c r="K48" s="142">
        <f t="shared" si="7"/>
        <v>19</v>
      </c>
      <c r="L48" s="143">
        <f t="shared" si="8"/>
        <v>63.33333333</v>
      </c>
      <c r="M48" s="144">
        <v>9.0</v>
      </c>
      <c r="N48" s="144">
        <v>3.0</v>
      </c>
      <c r="O48" s="144">
        <v>3.0</v>
      </c>
      <c r="P48" s="144">
        <v>0.0</v>
      </c>
      <c r="Q48" s="144">
        <v>4.0</v>
      </c>
      <c r="R48" s="144">
        <v>2.0</v>
      </c>
      <c r="S48" s="145">
        <v>21.0</v>
      </c>
      <c r="T48" s="133">
        <v>10.0</v>
      </c>
      <c r="U48" s="135">
        <f t="shared" si="9"/>
        <v>74</v>
      </c>
      <c r="V48" s="135">
        <f t="shared" si="10"/>
        <v>35</v>
      </c>
      <c r="W48" s="135">
        <f t="shared" si="11"/>
        <v>49</v>
      </c>
      <c r="X48" s="135">
        <f t="shared" si="12"/>
        <v>36</v>
      </c>
      <c r="Y48" s="135">
        <f t="shared" si="13"/>
        <v>62</v>
      </c>
      <c r="Z48" s="135">
        <f t="shared" si="14"/>
        <v>45</v>
      </c>
      <c r="AA48" s="137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ht="18.75" customHeight="1">
      <c r="A49" s="139">
        <v>158.0</v>
      </c>
      <c r="B49" s="140" t="s">
        <v>110</v>
      </c>
      <c r="C49" s="141">
        <v>9.0</v>
      </c>
      <c r="D49" s="141">
        <v>2.0</v>
      </c>
      <c r="E49" s="141">
        <v>9.0</v>
      </c>
      <c r="F49" s="142">
        <f t="shared" si="5"/>
        <v>20</v>
      </c>
      <c r="G49" s="143">
        <f t="shared" si="6"/>
        <v>66.66666667</v>
      </c>
      <c r="H49" s="141">
        <v>6.0</v>
      </c>
      <c r="I49" s="141">
        <v>4.0</v>
      </c>
      <c r="J49" s="155"/>
      <c r="K49" s="142">
        <f t="shared" si="7"/>
        <v>10</v>
      </c>
      <c r="L49" s="143">
        <f t="shared" si="8"/>
        <v>33.33333333</v>
      </c>
      <c r="M49" s="144">
        <v>5.0</v>
      </c>
      <c r="N49" s="144">
        <v>4.0</v>
      </c>
      <c r="O49" s="144">
        <v>12.0</v>
      </c>
      <c r="P49" s="144">
        <v>0.0</v>
      </c>
      <c r="Q49" s="144">
        <v>0.0</v>
      </c>
      <c r="R49" s="144">
        <v>3.0</v>
      </c>
      <c r="S49" s="145">
        <v>24.0</v>
      </c>
      <c r="T49" s="133">
        <v>10.0</v>
      </c>
      <c r="U49" s="135">
        <f t="shared" si="9"/>
        <v>68</v>
      </c>
      <c r="V49" s="135">
        <f t="shared" si="10"/>
        <v>44</v>
      </c>
      <c r="W49" s="135">
        <f t="shared" si="11"/>
        <v>98</v>
      </c>
      <c r="X49" s="135">
        <f t="shared" si="12"/>
        <v>32</v>
      </c>
      <c r="Y49" s="135">
        <f t="shared" si="13"/>
        <v>28</v>
      </c>
      <c r="Z49" s="135">
        <f t="shared" si="14"/>
        <v>42.5</v>
      </c>
      <c r="AA49" s="137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ht="18.75" customHeight="1">
      <c r="A50" s="139">
        <v>161.0</v>
      </c>
      <c r="B50" s="140" t="s">
        <v>111</v>
      </c>
      <c r="C50" s="155"/>
      <c r="D50" s="141">
        <v>2.0</v>
      </c>
      <c r="E50" s="141">
        <v>8.0</v>
      </c>
      <c r="F50" s="142">
        <f t="shared" si="5"/>
        <v>10</v>
      </c>
      <c r="G50" s="143">
        <f t="shared" si="6"/>
        <v>33.33333333</v>
      </c>
      <c r="H50" s="141">
        <v>9.0</v>
      </c>
      <c r="I50" s="141">
        <v>8.0</v>
      </c>
      <c r="J50" s="141">
        <v>9.0</v>
      </c>
      <c r="K50" s="142">
        <f t="shared" si="7"/>
        <v>26</v>
      </c>
      <c r="L50" s="143">
        <f t="shared" si="8"/>
        <v>86.66666667</v>
      </c>
      <c r="M50" s="144">
        <v>4.0</v>
      </c>
      <c r="N50" s="144">
        <v>6.0</v>
      </c>
      <c r="O50" s="144">
        <v>6.0</v>
      </c>
      <c r="P50" s="144">
        <v>0.0</v>
      </c>
      <c r="Q50" s="144">
        <v>0.0</v>
      </c>
      <c r="R50" s="144">
        <v>4.0</v>
      </c>
      <c r="S50" s="145">
        <v>20.0</v>
      </c>
      <c r="T50" s="133">
        <v>10.0</v>
      </c>
      <c r="U50" s="135">
        <f t="shared" si="9"/>
        <v>44</v>
      </c>
      <c r="V50" s="135">
        <f t="shared" si="10"/>
        <v>54</v>
      </c>
      <c r="W50" s="135">
        <f t="shared" si="11"/>
        <v>66</v>
      </c>
      <c r="X50" s="135">
        <f t="shared" si="12"/>
        <v>38</v>
      </c>
      <c r="Y50" s="135">
        <f t="shared" si="13"/>
        <v>36</v>
      </c>
      <c r="Z50" s="135">
        <f t="shared" si="14"/>
        <v>68</v>
      </c>
      <c r="AA50" s="137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ht="18.75" customHeight="1">
      <c r="A51" s="139">
        <v>166.0</v>
      </c>
      <c r="B51" s="140" t="s">
        <v>112</v>
      </c>
      <c r="C51" s="141">
        <v>4.0</v>
      </c>
      <c r="D51" s="155"/>
      <c r="E51" s="155"/>
      <c r="F51" s="142">
        <f t="shared" si="5"/>
        <v>4</v>
      </c>
      <c r="G51" s="143">
        <f t="shared" si="6"/>
        <v>13.33333333</v>
      </c>
      <c r="H51" s="155"/>
      <c r="I51" s="155"/>
      <c r="J51" s="155"/>
      <c r="K51" s="142">
        <f t="shared" si="7"/>
        <v>0</v>
      </c>
      <c r="L51" s="143">
        <f t="shared" si="8"/>
        <v>0</v>
      </c>
      <c r="M51" s="144">
        <v>2.0</v>
      </c>
      <c r="N51" s="144">
        <v>1.0</v>
      </c>
      <c r="O51" s="144">
        <v>12.0</v>
      </c>
      <c r="P51" s="144">
        <v>0.0</v>
      </c>
      <c r="Q51" s="144">
        <v>5.0</v>
      </c>
      <c r="R51" s="144">
        <v>0.0</v>
      </c>
      <c r="S51" s="145">
        <v>20.0</v>
      </c>
      <c r="T51" s="133">
        <v>10.0</v>
      </c>
      <c r="U51" s="135">
        <f t="shared" si="9"/>
        <v>40</v>
      </c>
      <c r="V51" s="135">
        <f t="shared" si="10"/>
        <v>25</v>
      </c>
      <c r="W51" s="135">
        <f t="shared" si="11"/>
        <v>80</v>
      </c>
      <c r="X51" s="135">
        <f t="shared" si="12"/>
        <v>20</v>
      </c>
      <c r="Y51" s="135">
        <f t="shared" si="13"/>
        <v>57.5</v>
      </c>
      <c r="Z51" s="135">
        <f t="shared" si="14"/>
        <v>20</v>
      </c>
      <c r="AA51" s="137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ht="18.75" customHeight="1">
      <c r="A52" s="139">
        <v>168.0</v>
      </c>
      <c r="B52" s="140" t="s">
        <v>113</v>
      </c>
      <c r="C52" s="141">
        <v>8.0</v>
      </c>
      <c r="D52" s="141">
        <v>2.0</v>
      </c>
      <c r="E52" s="141">
        <v>7.0</v>
      </c>
      <c r="F52" s="142">
        <f t="shared" si="5"/>
        <v>17</v>
      </c>
      <c r="G52" s="143">
        <f t="shared" si="6"/>
        <v>56.66666667</v>
      </c>
      <c r="H52" s="141">
        <v>6.0</v>
      </c>
      <c r="I52" s="141">
        <v>6.0</v>
      </c>
      <c r="J52" s="155"/>
      <c r="K52" s="142">
        <f t="shared" si="7"/>
        <v>12</v>
      </c>
      <c r="L52" s="143">
        <f t="shared" si="8"/>
        <v>40</v>
      </c>
      <c r="M52" s="144">
        <v>3.0</v>
      </c>
      <c r="N52" s="144">
        <v>6.0</v>
      </c>
      <c r="O52" s="144">
        <v>1.0</v>
      </c>
      <c r="P52" s="144">
        <v>2.0</v>
      </c>
      <c r="Q52" s="144">
        <v>7.0</v>
      </c>
      <c r="R52" s="144">
        <v>1.0</v>
      </c>
      <c r="S52" s="145">
        <v>20.0</v>
      </c>
      <c r="T52" s="133">
        <v>10.0</v>
      </c>
      <c r="U52" s="135">
        <f t="shared" si="9"/>
        <v>54</v>
      </c>
      <c r="V52" s="135">
        <f t="shared" si="10"/>
        <v>54</v>
      </c>
      <c r="W52" s="135">
        <f t="shared" si="11"/>
        <v>39</v>
      </c>
      <c r="X52" s="135">
        <f t="shared" si="12"/>
        <v>44</v>
      </c>
      <c r="Y52" s="135">
        <f t="shared" si="13"/>
        <v>84.5</v>
      </c>
      <c r="Z52" s="135">
        <f t="shared" si="14"/>
        <v>27.5</v>
      </c>
      <c r="AA52" s="137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ht="18.75" customHeight="1">
      <c r="A53" s="139">
        <v>205.0</v>
      </c>
      <c r="B53" s="140" t="s">
        <v>114</v>
      </c>
      <c r="C53" s="141">
        <v>9.0</v>
      </c>
      <c r="D53" s="141">
        <v>9.0</v>
      </c>
      <c r="E53" s="141">
        <v>10.0</v>
      </c>
      <c r="F53" s="142">
        <f t="shared" si="5"/>
        <v>28</v>
      </c>
      <c r="G53" s="143">
        <f t="shared" si="6"/>
        <v>93.33333333</v>
      </c>
      <c r="H53" s="141">
        <v>8.0</v>
      </c>
      <c r="I53" s="141">
        <v>5.0</v>
      </c>
      <c r="J53" s="141">
        <v>5.0</v>
      </c>
      <c r="K53" s="142">
        <f t="shared" si="7"/>
        <v>18</v>
      </c>
      <c r="L53" s="143">
        <f t="shared" si="8"/>
        <v>60</v>
      </c>
      <c r="M53" s="144">
        <v>7.0</v>
      </c>
      <c r="N53" s="144">
        <v>9.0</v>
      </c>
      <c r="O53" s="144">
        <v>6.0</v>
      </c>
      <c r="P53" s="144">
        <v>1.0</v>
      </c>
      <c r="Q53" s="144">
        <v>6.0</v>
      </c>
      <c r="R53" s="144">
        <v>0.0</v>
      </c>
      <c r="S53" s="145">
        <v>29.0</v>
      </c>
      <c r="T53" s="133">
        <v>10.0</v>
      </c>
      <c r="U53" s="135">
        <f t="shared" si="9"/>
        <v>80</v>
      </c>
      <c r="V53" s="135">
        <f t="shared" si="10"/>
        <v>83</v>
      </c>
      <c r="W53" s="135">
        <f t="shared" si="11"/>
        <v>70</v>
      </c>
      <c r="X53" s="135">
        <f t="shared" si="12"/>
        <v>42</v>
      </c>
      <c r="Y53" s="135">
        <f t="shared" si="13"/>
        <v>75</v>
      </c>
      <c r="Z53" s="135">
        <f t="shared" si="14"/>
        <v>30</v>
      </c>
      <c r="AA53" s="137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ht="18.75" customHeight="1">
      <c r="A54" s="139">
        <v>216.0</v>
      </c>
      <c r="B54" s="140" t="s">
        <v>115</v>
      </c>
      <c r="C54" s="155"/>
      <c r="D54" s="155"/>
      <c r="E54" s="155"/>
      <c r="F54" s="142">
        <f t="shared" si="5"/>
        <v>0</v>
      </c>
      <c r="G54" s="143">
        <f t="shared" si="6"/>
        <v>0</v>
      </c>
      <c r="H54" s="141">
        <v>7.0</v>
      </c>
      <c r="I54" s="141">
        <v>8.0</v>
      </c>
      <c r="J54" s="141">
        <v>5.0</v>
      </c>
      <c r="K54" s="142">
        <f t="shared" si="7"/>
        <v>20</v>
      </c>
      <c r="L54" s="143">
        <f t="shared" si="8"/>
        <v>66.66666667</v>
      </c>
      <c r="M54" s="144">
        <v>6.0</v>
      </c>
      <c r="N54" s="144">
        <v>7.0</v>
      </c>
      <c r="O54" s="144">
        <v>5.0</v>
      </c>
      <c r="P54" s="144">
        <v>0.0</v>
      </c>
      <c r="Q54" s="144">
        <v>3.0</v>
      </c>
      <c r="R54" s="144">
        <v>4.0</v>
      </c>
      <c r="S54" s="145">
        <v>25.0</v>
      </c>
      <c r="T54" s="133">
        <v>10.0</v>
      </c>
      <c r="U54" s="135">
        <f t="shared" si="9"/>
        <v>56</v>
      </c>
      <c r="V54" s="135">
        <f t="shared" si="10"/>
        <v>55</v>
      </c>
      <c r="W54" s="135">
        <f t="shared" si="11"/>
        <v>45</v>
      </c>
      <c r="X54" s="135">
        <f t="shared" si="12"/>
        <v>34</v>
      </c>
      <c r="Y54" s="135">
        <f t="shared" si="13"/>
        <v>58.5</v>
      </c>
      <c r="Z54" s="135">
        <f t="shared" si="14"/>
        <v>60</v>
      </c>
      <c r="AA54" s="137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ht="18.75" customHeight="1">
      <c r="A55" s="139">
        <v>218.0</v>
      </c>
      <c r="B55" s="140" t="s">
        <v>116</v>
      </c>
      <c r="C55" s="141">
        <v>10.0</v>
      </c>
      <c r="D55" s="141">
        <v>10.0</v>
      </c>
      <c r="E55" s="141">
        <v>9.0</v>
      </c>
      <c r="F55" s="142">
        <f t="shared" si="5"/>
        <v>29</v>
      </c>
      <c r="G55" s="143">
        <f t="shared" si="6"/>
        <v>96.66666667</v>
      </c>
      <c r="H55" s="141">
        <v>10.0</v>
      </c>
      <c r="I55" s="141">
        <v>5.0</v>
      </c>
      <c r="J55" s="141">
        <v>10.0</v>
      </c>
      <c r="K55" s="142">
        <f t="shared" si="7"/>
        <v>25</v>
      </c>
      <c r="L55" s="143">
        <f t="shared" si="8"/>
        <v>83.33333333</v>
      </c>
      <c r="M55" s="144">
        <v>9.0</v>
      </c>
      <c r="N55" s="144">
        <v>8.0</v>
      </c>
      <c r="O55" s="144">
        <v>4.0</v>
      </c>
      <c r="P55" s="144">
        <v>0.0</v>
      </c>
      <c r="Q55" s="144">
        <v>9.0</v>
      </c>
      <c r="R55" s="144">
        <v>8.0</v>
      </c>
      <c r="S55" s="145">
        <v>38.0</v>
      </c>
      <c r="T55" s="133">
        <v>10.0</v>
      </c>
      <c r="U55" s="135">
        <f t="shared" si="9"/>
        <v>94</v>
      </c>
      <c r="V55" s="135">
        <f t="shared" si="10"/>
        <v>80</v>
      </c>
      <c r="W55" s="135">
        <f t="shared" si="11"/>
        <v>58</v>
      </c>
      <c r="X55" s="135">
        <f t="shared" si="12"/>
        <v>40</v>
      </c>
      <c r="Y55" s="135">
        <f t="shared" si="13"/>
        <v>97.5</v>
      </c>
      <c r="Z55" s="135">
        <f t="shared" si="14"/>
        <v>100</v>
      </c>
      <c r="AA55" s="137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ht="18.75" customHeight="1">
      <c r="A56" s="139">
        <v>219.0</v>
      </c>
      <c r="B56" s="140" t="s">
        <v>117</v>
      </c>
      <c r="C56" s="141">
        <v>10.0</v>
      </c>
      <c r="D56" s="141">
        <v>9.0</v>
      </c>
      <c r="E56" s="155"/>
      <c r="F56" s="142">
        <f t="shared" si="5"/>
        <v>19</v>
      </c>
      <c r="G56" s="143">
        <f t="shared" si="6"/>
        <v>63.33333333</v>
      </c>
      <c r="H56" s="141">
        <v>5.0</v>
      </c>
      <c r="I56" s="141">
        <v>6.0</v>
      </c>
      <c r="J56" s="155"/>
      <c r="K56" s="142">
        <f t="shared" si="7"/>
        <v>11</v>
      </c>
      <c r="L56" s="143">
        <f t="shared" si="8"/>
        <v>36.66666667</v>
      </c>
      <c r="M56" s="144">
        <v>4.0</v>
      </c>
      <c r="N56" s="144">
        <v>9.0</v>
      </c>
      <c r="O56" s="144">
        <v>2.0</v>
      </c>
      <c r="P56" s="144">
        <v>0.0</v>
      </c>
      <c r="Q56" s="144">
        <v>0.0</v>
      </c>
      <c r="R56" s="144">
        <v>5.0</v>
      </c>
      <c r="S56" s="145">
        <v>20.0</v>
      </c>
      <c r="T56" s="133">
        <v>10.0</v>
      </c>
      <c r="U56" s="135">
        <f t="shared" si="9"/>
        <v>64</v>
      </c>
      <c r="V56" s="135">
        <f t="shared" si="10"/>
        <v>83</v>
      </c>
      <c r="W56" s="135">
        <f t="shared" si="11"/>
        <v>30</v>
      </c>
      <c r="X56" s="135">
        <f t="shared" si="12"/>
        <v>30</v>
      </c>
      <c r="Y56" s="135">
        <f t="shared" si="13"/>
        <v>32</v>
      </c>
      <c r="Z56" s="135">
        <f t="shared" si="14"/>
        <v>57.5</v>
      </c>
      <c r="AA56" s="137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ht="18.75" customHeight="1">
      <c r="A57" s="139">
        <v>221.0</v>
      </c>
      <c r="B57" s="140" t="s">
        <v>118</v>
      </c>
      <c r="C57" s="141">
        <v>4.0</v>
      </c>
      <c r="D57" s="141">
        <v>3.0</v>
      </c>
      <c r="E57" s="141">
        <v>2.0</v>
      </c>
      <c r="F57" s="142">
        <f t="shared" si="5"/>
        <v>9</v>
      </c>
      <c r="G57" s="143">
        <f t="shared" si="6"/>
        <v>30</v>
      </c>
      <c r="H57" s="141">
        <v>10.0</v>
      </c>
      <c r="I57" s="141">
        <v>5.0</v>
      </c>
      <c r="J57" s="141">
        <v>9.0</v>
      </c>
      <c r="K57" s="142">
        <f t="shared" si="7"/>
        <v>24</v>
      </c>
      <c r="L57" s="143">
        <f t="shared" si="8"/>
        <v>80</v>
      </c>
      <c r="M57" s="144">
        <v>3.0</v>
      </c>
      <c r="N57" s="144">
        <v>4.0</v>
      </c>
      <c r="O57" s="144">
        <v>6.0</v>
      </c>
      <c r="P57" s="144">
        <v>3.0</v>
      </c>
      <c r="Q57" s="144">
        <v>2.0</v>
      </c>
      <c r="R57" s="144">
        <v>3.0</v>
      </c>
      <c r="S57" s="145">
        <v>21.0</v>
      </c>
      <c r="T57" s="133">
        <v>10.0</v>
      </c>
      <c r="U57" s="135">
        <f t="shared" si="9"/>
        <v>46</v>
      </c>
      <c r="V57" s="135">
        <f t="shared" si="10"/>
        <v>46</v>
      </c>
      <c r="W57" s="135">
        <f t="shared" si="11"/>
        <v>54</v>
      </c>
      <c r="X57" s="135">
        <f t="shared" si="12"/>
        <v>58</v>
      </c>
      <c r="Y57" s="135">
        <f t="shared" si="13"/>
        <v>45</v>
      </c>
      <c r="Z57" s="135">
        <f t="shared" si="14"/>
        <v>60.5</v>
      </c>
      <c r="AA57" s="137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ht="18.75" customHeight="1">
      <c r="A58" s="139">
        <v>223.0</v>
      </c>
      <c r="B58" s="140" t="s">
        <v>119</v>
      </c>
      <c r="C58" s="141">
        <v>7.0</v>
      </c>
      <c r="D58" s="141">
        <v>5.0</v>
      </c>
      <c r="E58" s="141">
        <v>4.0</v>
      </c>
      <c r="F58" s="142">
        <f t="shared" si="5"/>
        <v>16</v>
      </c>
      <c r="G58" s="143">
        <f t="shared" si="6"/>
        <v>53.33333333</v>
      </c>
      <c r="H58" s="141">
        <v>5.0</v>
      </c>
      <c r="I58" s="141">
        <v>8.0</v>
      </c>
      <c r="J58" s="141">
        <v>6.0</v>
      </c>
      <c r="K58" s="142">
        <f t="shared" si="7"/>
        <v>19</v>
      </c>
      <c r="L58" s="143">
        <f t="shared" si="8"/>
        <v>63.33333333</v>
      </c>
      <c r="M58" s="144">
        <v>4.0</v>
      </c>
      <c r="N58" s="144">
        <v>3.0</v>
      </c>
      <c r="O58" s="144">
        <v>0.0</v>
      </c>
      <c r="P58" s="144">
        <v>6.0</v>
      </c>
      <c r="Q58" s="144">
        <v>3.0</v>
      </c>
      <c r="R58" s="144">
        <v>1.0</v>
      </c>
      <c r="S58" s="145">
        <v>17.0</v>
      </c>
      <c r="T58" s="133">
        <v>10.0</v>
      </c>
      <c r="U58" s="135">
        <f t="shared" si="9"/>
        <v>58</v>
      </c>
      <c r="V58" s="135">
        <f t="shared" si="10"/>
        <v>45</v>
      </c>
      <c r="W58" s="135">
        <f t="shared" si="11"/>
        <v>28</v>
      </c>
      <c r="X58" s="135">
        <f t="shared" si="12"/>
        <v>66</v>
      </c>
      <c r="Y58" s="135">
        <f t="shared" si="13"/>
        <v>58.5</v>
      </c>
      <c r="Z58" s="135">
        <f t="shared" si="14"/>
        <v>39.5</v>
      </c>
      <c r="AA58" s="137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ht="18.75" customHeight="1">
      <c r="A59" s="139">
        <v>224.0</v>
      </c>
      <c r="B59" s="140" t="s">
        <v>120</v>
      </c>
      <c r="C59" s="141">
        <v>10.0</v>
      </c>
      <c r="D59" s="141">
        <v>5.0</v>
      </c>
      <c r="E59" s="155"/>
      <c r="F59" s="142">
        <f t="shared" si="5"/>
        <v>15</v>
      </c>
      <c r="G59" s="143">
        <f t="shared" si="6"/>
        <v>50</v>
      </c>
      <c r="H59" s="141">
        <v>4.0</v>
      </c>
      <c r="I59" s="141">
        <v>4.0</v>
      </c>
      <c r="J59" s="155"/>
      <c r="K59" s="142">
        <f t="shared" si="7"/>
        <v>8</v>
      </c>
      <c r="L59" s="143">
        <f t="shared" si="8"/>
        <v>26.66666667</v>
      </c>
      <c r="M59" s="144">
        <v>9.0</v>
      </c>
      <c r="N59" s="144">
        <v>6.0</v>
      </c>
      <c r="O59" s="144">
        <v>7.0</v>
      </c>
      <c r="P59" s="144">
        <v>3.0</v>
      </c>
      <c r="Q59" s="144">
        <v>3.0</v>
      </c>
      <c r="R59" s="144">
        <v>4.0</v>
      </c>
      <c r="S59" s="145">
        <v>32.0</v>
      </c>
      <c r="T59" s="133">
        <v>10.0</v>
      </c>
      <c r="U59" s="135">
        <f t="shared" si="9"/>
        <v>94</v>
      </c>
      <c r="V59" s="135">
        <f t="shared" si="10"/>
        <v>60</v>
      </c>
      <c r="W59" s="135">
        <f t="shared" si="11"/>
        <v>55</v>
      </c>
      <c r="X59" s="135">
        <f t="shared" si="12"/>
        <v>46</v>
      </c>
      <c r="Y59" s="135">
        <f t="shared" si="13"/>
        <v>50.5</v>
      </c>
      <c r="Z59" s="135">
        <f t="shared" si="14"/>
        <v>50</v>
      </c>
      <c r="AA59" s="137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ht="18.75" customHeight="1">
      <c r="A60" s="139">
        <v>228.0</v>
      </c>
      <c r="B60" s="140" t="s">
        <v>121</v>
      </c>
      <c r="C60" s="141">
        <v>9.0</v>
      </c>
      <c r="D60" s="141">
        <v>8.0</v>
      </c>
      <c r="E60" s="141">
        <v>2.0</v>
      </c>
      <c r="F60" s="142">
        <f t="shared" si="5"/>
        <v>19</v>
      </c>
      <c r="G60" s="143">
        <f t="shared" si="6"/>
        <v>63.33333333</v>
      </c>
      <c r="H60" s="141">
        <v>4.0</v>
      </c>
      <c r="I60" s="141">
        <v>5.0</v>
      </c>
      <c r="J60" s="155"/>
      <c r="K60" s="142">
        <f t="shared" si="7"/>
        <v>9</v>
      </c>
      <c r="L60" s="143">
        <f t="shared" si="8"/>
        <v>30</v>
      </c>
      <c r="M60" s="144">
        <v>6.0</v>
      </c>
      <c r="N60" s="144">
        <v>9.0</v>
      </c>
      <c r="O60" s="144">
        <v>3.0</v>
      </c>
      <c r="P60" s="144">
        <v>0.0</v>
      </c>
      <c r="Q60" s="144">
        <v>1.0</v>
      </c>
      <c r="R60" s="144">
        <v>2.0</v>
      </c>
      <c r="S60" s="145">
        <v>21.0</v>
      </c>
      <c r="T60" s="133">
        <v>10.0</v>
      </c>
      <c r="U60" s="135">
        <f t="shared" si="9"/>
        <v>74</v>
      </c>
      <c r="V60" s="135">
        <f t="shared" si="10"/>
        <v>81</v>
      </c>
      <c r="W60" s="135">
        <f t="shared" si="11"/>
        <v>39</v>
      </c>
      <c r="X60" s="135">
        <f t="shared" si="12"/>
        <v>28</v>
      </c>
      <c r="Y60" s="135">
        <f t="shared" si="13"/>
        <v>37.5</v>
      </c>
      <c r="Z60" s="135">
        <f t="shared" si="14"/>
        <v>35</v>
      </c>
      <c r="AA60" s="137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ht="18.75" customHeight="1">
      <c r="A61" s="139">
        <v>230.0</v>
      </c>
      <c r="B61" s="140" t="s">
        <v>122</v>
      </c>
      <c r="C61" s="141">
        <v>7.0</v>
      </c>
      <c r="D61" s="141">
        <v>5.0</v>
      </c>
      <c r="E61" s="155"/>
      <c r="F61" s="142">
        <f t="shared" si="5"/>
        <v>12</v>
      </c>
      <c r="G61" s="143">
        <f t="shared" si="6"/>
        <v>40</v>
      </c>
      <c r="H61" s="141">
        <v>6.0</v>
      </c>
      <c r="I61" s="141">
        <v>4.0</v>
      </c>
      <c r="J61" s="141">
        <v>5.0</v>
      </c>
      <c r="K61" s="142">
        <f t="shared" si="7"/>
        <v>15</v>
      </c>
      <c r="L61" s="143">
        <f t="shared" si="8"/>
        <v>50</v>
      </c>
      <c r="M61" s="144">
        <v>7.0</v>
      </c>
      <c r="N61" s="144">
        <v>9.0</v>
      </c>
      <c r="O61" s="144">
        <v>7.0</v>
      </c>
      <c r="P61" s="144">
        <v>0.0</v>
      </c>
      <c r="Q61" s="144">
        <v>0.0</v>
      </c>
      <c r="R61" s="144">
        <v>4.0</v>
      </c>
      <c r="S61" s="145">
        <v>27.0</v>
      </c>
      <c r="T61" s="133">
        <v>10.0</v>
      </c>
      <c r="U61" s="135">
        <f t="shared" si="9"/>
        <v>76</v>
      </c>
      <c r="V61" s="135">
        <f t="shared" si="10"/>
        <v>75</v>
      </c>
      <c r="W61" s="135">
        <f t="shared" si="11"/>
        <v>55</v>
      </c>
      <c r="X61" s="135">
        <f t="shared" si="12"/>
        <v>32</v>
      </c>
      <c r="Y61" s="135">
        <f t="shared" si="13"/>
        <v>28</v>
      </c>
      <c r="Z61" s="135">
        <f t="shared" si="14"/>
        <v>60</v>
      </c>
      <c r="AA61" s="137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ht="18.75" customHeight="1">
      <c r="A62" s="139">
        <v>232.0</v>
      </c>
      <c r="B62" s="140" t="s">
        <v>123</v>
      </c>
      <c r="C62" s="141">
        <v>9.0</v>
      </c>
      <c r="D62" s="141">
        <v>7.0</v>
      </c>
      <c r="E62" s="141">
        <v>4.0</v>
      </c>
      <c r="F62" s="142">
        <f t="shared" si="5"/>
        <v>20</v>
      </c>
      <c r="G62" s="143">
        <f t="shared" si="6"/>
        <v>66.66666667</v>
      </c>
      <c r="H62" s="141">
        <v>6.0</v>
      </c>
      <c r="I62" s="141">
        <v>4.0</v>
      </c>
      <c r="J62" s="141">
        <v>4.0</v>
      </c>
      <c r="K62" s="142">
        <f t="shared" si="7"/>
        <v>14</v>
      </c>
      <c r="L62" s="143">
        <f t="shared" si="8"/>
        <v>46.66666667</v>
      </c>
      <c r="M62" s="144">
        <v>4.0</v>
      </c>
      <c r="N62" s="144">
        <v>4.0</v>
      </c>
      <c r="O62" s="144">
        <v>11.0</v>
      </c>
      <c r="P62" s="144">
        <v>0.0</v>
      </c>
      <c r="Q62" s="144">
        <v>0.0</v>
      </c>
      <c r="R62" s="144">
        <v>7.0</v>
      </c>
      <c r="S62" s="145">
        <v>26.0</v>
      </c>
      <c r="T62" s="133">
        <v>10.0</v>
      </c>
      <c r="U62" s="135">
        <f t="shared" si="9"/>
        <v>62</v>
      </c>
      <c r="V62" s="135">
        <f t="shared" si="10"/>
        <v>54</v>
      </c>
      <c r="W62" s="135">
        <f t="shared" si="11"/>
        <v>83</v>
      </c>
      <c r="X62" s="135">
        <f t="shared" si="12"/>
        <v>32</v>
      </c>
      <c r="Y62" s="135">
        <f t="shared" si="13"/>
        <v>28</v>
      </c>
      <c r="Z62" s="135">
        <f t="shared" si="14"/>
        <v>80.5</v>
      </c>
      <c r="AA62" s="137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ht="18.75" customHeight="1">
      <c r="A63" s="139">
        <v>243.0</v>
      </c>
      <c r="B63" s="140" t="s">
        <v>124</v>
      </c>
      <c r="C63" s="141">
        <v>2.0</v>
      </c>
      <c r="D63" s="141">
        <v>6.0</v>
      </c>
      <c r="E63" s="141">
        <v>5.0</v>
      </c>
      <c r="F63" s="142">
        <f t="shared" si="5"/>
        <v>13</v>
      </c>
      <c r="G63" s="143">
        <f t="shared" si="6"/>
        <v>43.33333333</v>
      </c>
      <c r="H63" s="141">
        <v>6.0</v>
      </c>
      <c r="I63" s="141">
        <v>4.0</v>
      </c>
      <c r="J63" s="141">
        <v>10.0</v>
      </c>
      <c r="K63" s="142">
        <f t="shared" si="7"/>
        <v>20</v>
      </c>
      <c r="L63" s="143">
        <f t="shared" si="8"/>
        <v>66.66666667</v>
      </c>
      <c r="M63" s="144">
        <v>4.0</v>
      </c>
      <c r="N63" s="144">
        <v>7.0</v>
      </c>
      <c r="O63" s="144">
        <v>12.0</v>
      </c>
      <c r="P63" s="144">
        <v>0.0</v>
      </c>
      <c r="Q63" s="144">
        <v>1.0</v>
      </c>
      <c r="R63" s="144">
        <v>0.0</v>
      </c>
      <c r="S63" s="145">
        <v>24.0</v>
      </c>
      <c r="T63" s="133">
        <v>10.0</v>
      </c>
      <c r="U63" s="135">
        <f t="shared" si="9"/>
        <v>48</v>
      </c>
      <c r="V63" s="135">
        <f t="shared" si="10"/>
        <v>67</v>
      </c>
      <c r="W63" s="135">
        <f t="shared" si="11"/>
        <v>90</v>
      </c>
      <c r="X63" s="135">
        <f t="shared" si="12"/>
        <v>32</v>
      </c>
      <c r="Y63" s="135">
        <f t="shared" si="13"/>
        <v>35.5</v>
      </c>
      <c r="Z63" s="135">
        <f t="shared" si="14"/>
        <v>40</v>
      </c>
      <c r="AA63" s="137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ht="18.75" customHeight="1">
      <c r="A64" s="139">
        <v>244.0</v>
      </c>
      <c r="B64" s="140" t="s">
        <v>125</v>
      </c>
      <c r="C64" s="141">
        <v>10.0</v>
      </c>
      <c r="D64" s="141">
        <v>7.0</v>
      </c>
      <c r="E64" s="141">
        <v>6.0</v>
      </c>
      <c r="F64" s="142">
        <f t="shared" si="5"/>
        <v>23</v>
      </c>
      <c r="G64" s="143">
        <f t="shared" si="6"/>
        <v>76.66666667</v>
      </c>
      <c r="H64" s="141">
        <v>8.0</v>
      </c>
      <c r="I64" s="141">
        <v>7.0</v>
      </c>
      <c r="J64" s="141">
        <v>9.0</v>
      </c>
      <c r="K64" s="142">
        <f t="shared" si="7"/>
        <v>24</v>
      </c>
      <c r="L64" s="143">
        <f t="shared" si="8"/>
        <v>80</v>
      </c>
      <c r="M64" s="144">
        <v>8.0</v>
      </c>
      <c r="N64" s="144">
        <v>8.0</v>
      </c>
      <c r="O64" s="144">
        <v>8.0</v>
      </c>
      <c r="P64" s="144">
        <v>0.0</v>
      </c>
      <c r="Q64" s="144">
        <v>5.0</v>
      </c>
      <c r="R64" s="144">
        <v>5.0</v>
      </c>
      <c r="S64" s="145">
        <v>34.0</v>
      </c>
      <c r="T64" s="133">
        <v>10.0</v>
      </c>
      <c r="U64" s="135">
        <f t="shared" si="9"/>
        <v>88</v>
      </c>
      <c r="V64" s="135">
        <f t="shared" si="10"/>
        <v>74</v>
      </c>
      <c r="W64" s="135">
        <f t="shared" si="11"/>
        <v>72</v>
      </c>
      <c r="X64" s="135">
        <f t="shared" si="12"/>
        <v>36</v>
      </c>
      <c r="Y64" s="135">
        <f t="shared" si="13"/>
        <v>71.5</v>
      </c>
      <c r="Z64" s="135">
        <f t="shared" si="14"/>
        <v>75.5</v>
      </c>
      <c r="AA64" s="137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ht="18.75" customHeight="1">
      <c r="A65" s="139">
        <v>245.0</v>
      </c>
      <c r="B65" s="140" t="s">
        <v>126</v>
      </c>
      <c r="C65" s="141">
        <v>4.0</v>
      </c>
      <c r="D65" s="141">
        <v>3.0</v>
      </c>
      <c r="E65" s="141">
        <v>10.0</v>
      </c>
      <c r="F65" s="142">
        <f t="shared" si="5"/>
        <v>17</v>
      </c>
      <c r="G65" s="143">
        <f t="shared" si="6"/>
        <v>56.66666667</v>
      </c>
      <c r="H65" s="141">
        <v>6.0</v>
      </c>
      <c r="I65" s="141">
        <v>3.0</v>
      </c>
      <c r="J65" s="141">
        <v>9.0</v>
      </c>
      <c r="K65" s="142">
        <f t="shared" si="7"/>
        <v>18</v>
      </c>
      <c r="L65" s="143">
        <f t="shared" si="8"/>
        <v>60</v>
      </c>
      <c r="M65" s="144">
        <v>8.0</v>
      </c>
      <c r="N65" s="144">
        <v>6.0</v>
      </c>
      <c r="O65" s="144">
        <v>0.0</v>
      </c>
      <c r="P65" s="144">
        <v>0.0</v>
      </c>
      <c r="Q65" s="144">
        <v>4.0</v>
      </c>
      <c r="R65" s="144">
        <v>3.0</v>
      </c>
      <c r="S65" s="145">
        <v>21.0</v>
      </c>
      <c r="T65" s="133">
        <v>10.0</v>
      </c>
      <c r="U65" s="135">
        <f t="shared" si="9"/>
        <v>76</v>
      </c>
      <c r="V65" s="135">
        <f t="shared" si="10"/>
        <v>56</v>
      </c>
      <c r="W65" s="135">
        <f t="shared" si="11"/>
        <v>40</v>
      </c>
      <c r="X65" s="135">
        <f t="shared" si="12"/>
        <v>32</v>
      </c>
      <c r="Y65" s="135">
        <f t="shared" si="13"/>
        <v>56</v>
      </c>
      <c r="Z65" s="135">
        <f t="shared" si="14"/>
        <v>60.5</v>
      </c>
      <c r="AA65" s="137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ht="18.75" customHeight="1">
      <c r="A66" s="139">
        <v>248.0</v>
      </c>
      <c r="B66" s="140" t="s">
        <v>127</v>
      </c>
      <c r="C66" s="141">
        <v>9.0</v>
      </c>
      <c r="D66" s="141">
        <v>9.0</v>
      </c>
      <c r="E66" s="141">
        <v>3.0</v>
      </c>
      <c r="F66" s="142">
        <f t="shared" si="5"/>
        <v>21</v>
      </c>
      <c r="G66" s="143">
        <f t="shared" si="6"/>
        <v>70</v>
      </c>
      <c r="H66" s="141">
        <v>8.0</v>
      </c>
      <c r="I66" s="140">
        <v>9.0</v>
      </c>
      <c r="J66" s="141">
        <v>6.0</v>
      </c>
      <c r="K66" s="142">
        <f t="shared" si="7"/>
        <v>23</v>
      </c>
      <c r="L66" s="143">
        <f t="shared" si="8"/>
        <v>76.66666667</v>
      </c>
      <c r="M66" s="144">
        <v>4.0</v>
      </c>
      <c r="N66" s="144">
        <v>9.0</v>
      </c>
      <c r="O66" s="144">
        <v>4.0</v>
      </c>
      <c r="P66" s="144">
        <v>2.0</v>
      </c>
      <c r="Q66" s="144">
        <v>4.0</v>
      </c>
      <c r="R66" s="144">
        <v>6.0</v>
      </c>
      <c r="S66" s="145">
        <v>29.0</v>
      </c>
      <c r="T66" s="133">
        <v>10.0</v>
      </c>
      <c r="U66" s="135">
        <f t="shared" si="9"/>
        <v>62</v>
      </c>
      <c r="V66" s="135">
        <f t="shared" si="10"/>
        <v>83</v>
      </c>
      <c r="W66" s="135">
        <f t="shared" si="11"/>
        <v>46</v>
      </c>
      <c r="X66" s="135">
        <f t="shared" si="12"/>
        <v>48</v>
      </c>
      <c r="Y66" s="135">
        <f t="shared" si="13"/>
        <v>68</v>
      </c>
      <c r="Z66" s="135">
        <f t="shared" si="14"/>
        <v>77</v>
      </c>
      <c r="AA66" s="137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ht="18.75" customHeight="1">
      <c r="A67" s="139">
        <v>101.0</v>
      </c>
      <c r="B67" s="140" t="s">
        <v>128</v>
      </c>
      <c r="C67" s="141">
        <v>4.0</v>
      </c>
      <c r="D67" s="155"/>
      <c r="E67" s="155"/>
      <c r="F67" s="142">
        <f t="shared" si="5"/>
        <v>4</v>
      </c>
      <c r="G67" s="143">
        <f t="shared" si="6"/>
        <v>13.33333333</v>
      </c>
      <c r="H67" s="141">
        <v>5.0</v>
      </c>
      <c r="I67" s="141">
        <v>2.0</v>
      </c>
      <c r="J67" s="141">
        <v>1.0</v>
      </c>
      <c r="K67" s="142">
        <f t="shared" si="7"/>
        <v>8</v>
      </c>
      <c r="L67" s="143">
        <f t="shared" si="8"/>
        <v>26.66666667</v>
      </c>
      <c r="M67" s="144">
        <v>4.0</v>
      </c>
      <c r="N67" s="144">
        <v>7.0</v>
      </c>
      <c r="O67" s="144">
        <v>3.0</v>
      </c>
      <c r="P67" s="144">
        <v>2.0</v>
      </c>
      <c r="Q67" s="144">
        <v>3.0</v>
      </c>
      <c r="R67" s="144">
        <v>1.0</v>
      </c>
      <c r="S67" s="145">
        <v>20.0</v>
      </c>
      <c r="T67" s="133">
        <v>10.0</v>
      </c>
      <c r="U67" s="135">
        <f t="shared" si="9"/>
        <v>52</v>
      </c>
      <c r="V67" s="135">
        <f t="shared" si="10"/>
        <v>55</v>
      </c>
      <c r="W67" s="135">
        <f t="shared" si="11"/>
        <v>35</v>
      </c>
      <c r="X67" s="135">
        <f t="shared" si="12"/>
        <v>42</v>
      </c>
      <c r="Y67" s="135">
        <f t="shared" si="13"/>
        <v>46.5</v>
      </c>
      <c r="Z67" s="135">
        <f t="shared" si="14"/>
        <v>29.5</v>
      </c>
      <c r="AA67" s="137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ht="18.75" customHeight="1">
      <c r="A68" s="139">
        <v>102.0</v>
      </c>
      <c r="B68" s="140" t="s">
        <v>129</v>
      </c>
      <c r="C68" s="141">
        <v>10.0</v>
      </c>
      <c r="D68" s="141">
        <v>10.0</v>
      </c>
      <c r="E68" s="141">
        <v>5.0</v>
      </c>
      <c r="F68" s="142">
        <f t="shared" si="5"/>
        <v>25</v>
      </c>
      <c r="G68" s="143">
        <f t="shared" si="6"/>
        <v>83.33333333</v>
      </c>
      <c r="H68" s="141">
        <v>9.0</v>
      </c>
      <c r="I68" s="141">
        <v>7.0</v>
      </c>
      <c r="J68" s="141">
        <v>4.0</v>
      </c>
      <c r="K68" s="142">
        <f t="shared" si="7"/>
        <v>20</v>
      </c>
      <c r="L68" s="143">
        <f t="shared" si="8"/>
        <v>66.66666667</v>
      </c>
      <c r="M68" s="144">
        <v>8.0</v>
      </c>
      <c r="N68" s="144">
        <v>6.0</v>
      </c>
      <c r="O68" s="144">
        <v>11.0</v>
      </c>
      <c r="P68" s="144">
        <v>3.0</v>
      </c>
      <c r="Q68" s="144">
        <v>6.0</v>
      </c>
      <c r="R68" s="144">
        <v>6.0</v>
      </c>
      <c r="S68" s="145">
        <v>40.0</v>
      </c>
      <c r="T68" s="133">
        <v>10.0</v>
      </c>
      <c r="U68" s="135">
        <f t="shared" si="9"/>
        <v>88</v>
      </c>
      <c r="V68" s="135">
        <f t="shared" si="10"/>
        <v>70</v>
      </c>
      <c r="W68" s="135">
        <f t="shared" si="11"/>
        <v>85</v>
      </c>
      <c r="X68" s="135">
        <f t="shared" si="12"/>
        <v>56</v>
      </c>
      <c r="Y68" s="135">
        <f t="shared" si="13"/>
        <v>79</v>
      </c>
      <c r="Z68" s="135">
        <f t="shared" si="14"/>
        <v>73</v>
      </c>
      <c r="AA68" s="137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ht="18.75" customHeight="1">
      <c r="A69" s="139">
        <v>103.0</v>
      </c>
      <c r="B69" s="140" t="s">
        <v>130</v>
      </c>
      <c r="C69" s="141">
        <v>9.0</v>
      </c>
      <c r="D69" s="141">
        <v>10.0</v>
      </c>
      <c r="E69" s="141">
        <v>8.0</v>
      </c>
      <c r="F69" s="142">
        <f t="shared" si="5"/>
        <v>27</v>
      </c>
      <c r="G69" s="143">
        <f t="shared" si="6"/>
        <v>90</v>
      </c>
      <c r="H69" s="141">
        <v>7.0</v>
      </c>
      <c r="I69" s="141">
        <v>8.0</v>
      </c>
      <c r="J69" s="141">
        <v>8.0</v>
      </c>
      <c r="K69" s="142">
        <f t="shared" si="7"/>
        <v>23</v>
      </c>
      <c r="L69" s="143">
        <f t="shared" si="8"/>
        <v>76.66666667</v>
      </c>
      <c r="M69" s="144">
        <v>8.0</v>
      </c>
      <c r="N69" s="144">
        <v>9.0</v>
      </c>
      <c r="O69" s="144">
        <v>7.0</v>
      </c>
      <c r="P69" s="144">
        <v>2.0</v>
      </c>
      <c r="Q69" s="144">
        <v>5.0</v>
      </c>
      <c r="R69" s="144">
        <v>5.0</v>
      </c>
      <c r="S69" s="145">
        <v>36.0</v>
      </c>
      <c r="T69" s="133">
        <v>10.0</v>
      </c>
      <c r="U69" s="135">
        <f t="shared" si="9"/>
        <v>86</v>
      </c>
      <c r="V69" s="135">
        <f t="shared" si="10"/>
        <v>85</v>
      </c>
      <c r="W69" s="135">
        <f t="shared" si="11"/>
        <v>71</v>
      </c>
      <c r="X69" s="135">
        <f t="shared" si="12"/>
        <v>46</v>
      </c>
      <c r="Y69" s="135">
        <f t="shared" si="13"/>
        <v>73.5</v>
      </c>
      <c r="Z69" s="135">
        <f t="shared" si="14"/>
        <v>73.5</v>
      </c>
      <c r="AA69" s="137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ht="18.75" customHeight="1">
      <c r="A70" s="139">
        <v>104.0</v>
      </c>
      <c r="B70" s="140" t="s">
        <v>131</v>
      </c>
      <c r="C70" s="141">
        <v>3.0</v>
      </c>
      <c r="D70" s="141">
        <v>7.0</v>
      </c>
      <c r="E70" s="141">
        <v>2.0</v>
      </c>
      <c r="F70" s="142">
        <f t="shared" si="5"/>
        <v>12</v>
      </c>
      <c r="G70" s="143">
        <f t="shared" si="6"/>
        <v>40</v>
      </c>
      <c r="H70" s="141">
        <v>5.0</v>
      </c>
      <c r="I70" s="141">
        <v>3.0</v>
      </c>
      <c r="J70" s="141">
        <v>8.0</v>
      </c>
      <c r="K70" s="142">
        <f t="shared" si="7"/>
        <v>16</v>
      </c>
      <c r="L70" s="143">
        <f t="shared" si="8"/>
        <v>53.33333333</v>
      </c>
      <c r="M70" s="144">
        <v>8.0</v>
      </c>
      <c r="N70" s="144">
        <v>4.0</v>
      </c>
      <c r="O70" s="144">
        <v>8.0</v>
      </c>
      <c r="P70" s="144">
        <v>4.0</v>
      </c>
      <c r="Q70" s="144">
        <v>4.0</v>
      </c>
      <c r="R70" s="144">
        <v>7.0</v>
      </c>
      <c r="S70" s="145">
        <v>35.0</v>
      </c>
      <c r="T70" s="133">
        <v>10.0</v>
      </c>
      <c r="U70" s="135">
        <f t="shared" si="9"/>
        <v>74</v>
      </c>
      <c r="V70" s="135">
        <f t="shared" si="10"/>
        <v>54</v>
      </c>
      <c r="W70" s="135">
        <f t="shared" si="11"/>
        <v>64</v>
      </c>
      <c r="X70" s="135">
        <f t="shared" si="12"/>
        <v>54</v>
      </c>
      <c r="Y70" s="135">
        <f t="shared" si="13"/>
        <v>56</v>
      </c>
      <c r="Z70" s="135">
        <f t="shared" si="14"/>
        <v>88.5</v>
      </c>
      <c r="AA70" s="137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ht="18.75" customHeight="1">
      <c r="A71" s="139">
        <v>105.0</v>
      </c>
      <c r="B71" s="140" t="s">
        <v>132</v>
      </c>
      <c r="C71" s="141">
        <v>8.0</v>
      </c>
      <c r="D71" s="141">
        <v>7.0</v>
      </c>
      <c r="E71" s="155"/>
      <c r="F71" s="142">
        <f t="shared" si="5"/>
        <v>15</v>
      </c>
      <c r="G71" s="143">
        <f t="shared" si="6"/>
        <v>50</v>
      </c>
      <c r="H71" s="141">
        <v>7.0</v>
      </c>
      <c r="I71" s="141">
        <v>8.0</v>
      </c>
      <c r="J71" s="141">
        <v>4.0</v>
      </c>
      <c r="K71" s="142">
        <f t="shared" si="7"/>
        <v>19</v>
      </c>
      <c r="L71" s="143">
        <f t="shared" si="8"/>
        <v>63.33333333</v>
      </c>
      <c r="M71" s="144">
        <v>5.0</v>
      </c>
      <c r="N71" s="144">
        <v>5.0</v>
      </c>
      <c r="O71" s="144">
        <v>5.0</v>
      </c>
      <c r="P71" s="144">
        <v>5.0</v>
      </c>
      <c r="Q71" s="144">
        <v>3.0</v>
      </c>
      <c r="R71" s="144">
        <v>2.0</v>
      </c>
      <c r="S71" s="145">
        <v>25.0</v>
      </c>
      <c r="T71" s="133">
        <v>10.0</v>
      </c>
      <c r="U71" s="135">
        <f t="shared" si="9"/>
        <v>66</v>
      </c>
      <c r="V71" s="135">
        <f t="shared" si="10"/>
        <v>59</v>
      </c>
      <c r="W71" s="135">
        <f t="shared" si="11"/>
        <v>45</v>
      </c>
      <c r="X71" s="135">
        <f t="shared" si="12"/>
        <v>64</v>
      </c>
      <c r="Y71" s="135">
        <f t="shared" si="13"/>
        <v>58.5</v>
      </c>
      <c r="Z71" s="135">
        <f t="shared" si="14"/>
        <v>43</v>
      </c>
      <c r="AA71" s="137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ht="18.75" customHeight="1">
      <c r="A72" s="139">
        <v>106.0</v>
      </c>
      <c r="B72" s="140" t="s">
        <v>133</v>
      </c>
      <c r="C72" s="141">
        <v>10.0</v>
      </c>
      <c r="D72" s="141">
        <v>9.0</v>
      </c>
      <c r="E72" s="141">
        <v>7.0</v>
      </c>
      <c r="F72" s="142">
        <f t="shared" si="5"/>
        <v>26</v>
      </c>
      <c r="G72" s="143">
        <f t="shared" si="6"/>
        <v>86.66666667</v>
      </c>
      <c r="H72" s="141">
        <v>10.0</v>
      </c>
      <c r="I72" s="141">
        <v>10.0</v>
      </c>
      <c r="J72" s="141">
        <v>5.0</v>
      </c>
      <c r="K72" s="142">
        <f t="shared" si="7"/>
        <v>25</v>
      </c>
      <c r="L72" s="143">
        <f t="shared" si="8"/>
        <v>83.33333333</v>
      </c>
      <c r="M72" s="144">
        <v>8.0</v>
      </c>
      <c r="N72" s="144">
        <v>8.0</v>
      </c>
      <c r="O72" s="144">
        <v>8.0</v>
      </c>
      <c r="P72" s="144">
        <v>4.0</v>
      </c>
      <c r="Q72" s="144">
        <v>6.0</v>
      </c>
      <c r="R72" s="144">
        <v>3.0</v>
      </c>
      <c r="S72" s="145">
        <v>37.0</v>
      </c>
      <c r="T72" s="133">
        <v>10.0</v>
      </c>
      <c r="U72" s="135">
        <f t="shared" si="9"/>
        <v>88</v>
      </c>
      <c r="V72" s="135">
        <f t="shared" si="10"/>
        <v>78</v>
      </c>
      <c r="W72" s="135">
        <f t="shared" si="11"/>
        <v>74</v>
      </c>
      <c r="X72" s="135">
        <f t="shared" si="12"/>
        <v>64</v>
      </c>
      <c r="Y72" s="135">
        <f t="shared" si="13"/>
        <v>85</v>
      </c>
      <c r="Z72" s="135">
        <f t="shared" si="14"/>
        <v>52.5</v>
      </c>
      <c r="AA72" s="137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ht="18.75" customHeight="1">
      <c r="A73" s="139">
        <v>107.0</v>
      </c>
      <c r="B73" s="140" t="s">
        <v>134</v>
      </c>
      <c r="C73" s="141">
        <v>10.0</v>
      </c>
      <c r="D73" s="141">
        <v>8.0</v>
      </c>
      <c r="E73" s="141">
        <v>7.0</v>
      </c>
      <c r="F73" s="142">
        <f t="shared" si="5"/>
        <v>25</v>
      </c>
      <c r="G73" s="143">
        <f t="shared" si="6"/>
        <v>83.33333333</v>
      </c>
      <c r="H73" s="141">
        <v>4.0</v>
      </c>
      <c r="I73" s="141">
        <v>6.0</v>
      </c>
      <c r="J73" s="141">
        <v>6.0</v>
      </c>
      <c r="K73" s="142">
        <f t="shared" si="7"/>
        <v>16</v>
      </c>
      <c r="L73" s="143">
        <f t="shared" si="8"/>
        <v>53.33333333</v>
      </c>
      <c r="M73" s="144">
        <v>7.0</v>
      </c>
      <c r="N73" s="144">
        <v>7.0</v>
      </c>
      <c r="O73" s="144">
        <v>6.0</v>
      </c>
      <c r="P73" s="144">
        <v>3.0</v>
      </c>
      <c r="Q73" s="144">
        <v>7.0</v>
      </c>
      <c r="R73" s="144">
        <v>3.0</v>
      </c>
      <c r="S73" s="145">
        <v>33.0</v>
      </c>
      <c r="T73" s="133">
        <v>10.0</v>
      </c>
      <c r="U73" s="135">
        <f t="shared" si="9"/>
        <v>82</v>
      </c>
      <c r="V73" s="135">
        <f t="shared" si="10"/>
        <v>71</v>
      </c>
      <c r="W73" s="135">
        <f t="shared" si="11"/>
        <v>64</v>
      </c>
      <c r="X73" s="135">
        <f t="shared" si="12"/>
        <v>46</v>
      </c>
      <c r="Y73" s="135">
        <f t="shared" si="13"/>
        <v>84.5</v>
      </c>
      <c r="Z73" s="135">
        <f t="shared" si="14"/>
        <v>54.5</v>
      </c>
      <c r="AA73" s="137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ht="18.75" customHeight="1">
      <c r="A74" s="139">
        <v>109.0</v>
      </c>
      <c r="B74" s="140" t="s">
        <v>135</v>
      </c>
      <c r="C74" s="141">
        <v>8.0</v>
      </c>
      <c r="D74" s="141">
        <v>5.0</v>
      </c>
      <c r="E74" s="141">
        <v>6.0</v>
      </c>
      <c r="F74" s="142">
        <f t="shared" si="5"/>
        <v>19</v>
      </c>
      <c r="G74" s="143">
        <f t="shared" si="6"/>
        <v>63.33333333</v>
      </c>
      <c r="H74" s="141">
        <v>6.0</v>
      </c>
      <c r="I74" s="141">
        <v>7.0</v>
      </c>
      <c r="J74" s="141">
        <v>4.0</v>
      </c>
      <c r="K74" s="142">
        <f t="shared" si="7"/>
        <v>17</v>
      </c>
      <c r="L74" s="143">
        <f t="shared" si="8"/>
        <v>56.66666667</v>
      </c>
      <c r="M74" s="144">
        <v>5.0</v>
      </c>
      <c r="N74" s="144">
        <v>7.0</v>
      </c>
      <c r="O74" s="144">
        <v>6.0</v>
      </c>
      <c r="P74" s="144">
        <v>3.0</v>
      </c>
      <c r="Q74" s="144">
        <v>3.0</v>
      </c>
      <c r="R74" s="144">
        <v>2.0</v>
      </c>
      <c r="S74" s="145">
        <v>26.0</v>
      </c>
      <c r="T74" s="133">
        <v>10.0</v>
      </c>
      <c r="U74" s="135">
        <f t="shared" si="9"/>
        <v>66</v>
      </c>
      <c r="V74" s="135">
        <f t="shared" si="10"/>
        <v>65</v>
      </c>
      <c r="W74" s="135">
        <f t="shared" si="11"/>
        <v>62</v>
      </c>
      <c r="X74" s="135">
        <f t="shared" si="12"/>
        <v>50</v>
      </c>
      <c r="Y74" s="135">
        <f t="shared" si="13"/>
        <v>56.5</v>
      </c>
      <c r="Z74" s="135">
        <f t="shared" si="14"/>
        <v>43</v>
      </c>
      <c r="AA74" s="137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ht="18.75" customHeight="1">
      <c r="A75" s="139">
        <v>111.0</v>
      </c>
      <c r="B75" s="140" t="s">
        <v>136</v>
      </c>
      <c r="C75" s="141">
        <v>9.0</v>
      </c>
      <c r="D75" s="141">
        <v>9.0</v>
      </c>
      <c r="E75" s="141">
        <v>7.0</v>
      </c>
      <c r="F75" s="142">
        <f t="shared" si="5"/>
        <v>25</v>
      </c>
      <c r="G75" s="143">
        <f t="shared" si="6"/>
        <v>83.33333333</v>
      </c>
      <c r="H75" s="141">
        <v>9.0</v>
      </c>
      <c r="I75" s="141">
        <v>7.0</v>
      </c>
      <c r="J75" s="141">
        <v>8.0</v>
      </c>
      <c r="K75" s="142">
        <f t="shared" si="7"/>
        <v>24</v>
      </c>
      <c r="L75" s="143">
        <f t="shared" si="8"/>
        <v>80</v>
      </c>
      <c r="M75" s="144">
        <v>2.0</v>
      </c>
      <c r="N75" s="144">
        <v>9.0</v>
      </c>
      <c r="O75" s="144">
        <v>0.0</v>
      </c>
      <c r="P75" s="144">
        <v>1.0</v>
      </c>
      <c r="Q75" s="144">
        <v>6.0</v>
      </c>
      <c r="R75" s="144">
        <v>4.0</v>
      </c>
      <c r="S75" s="145">
        <v>22.0</v>
      </c>
      <c r="T75" s="133">
        <v>10.0</v>
      </c>
      <c r="U75" s="135">
        <f t="shared" si="9"/>
        <v>50</v>
      </c>
      <c r="V75" s="135">
        <f t="shared" si="10"/>
        <v>83</v>
      </c>
      <c r="W75" s="135">
        <f t="shared" si="11"/>
        <v>34</v>
      </c>
      <c r="X75" s="135">
        <f t="shared" si="12"/>
        <v>44</v>
      </c>
      <c r="Y75" s="135">
        <f t="shared" si="13"/>
        <v>79</v>
      </c>
      <c r="Z75" s="135">
        <f t="shared" si="14"/>
        <v>66</v>
      </c>
      <c r="AA75" s="137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ht="18.75" customHeight="1">
      <c r="A76" s="139">
        <v>113.0</v>
      </c>
      <c r="B76" s="140" t="s">
        <v>137</v>
      </c>
      <c r="C76" s="141">
        <v>10.0</v>
      </c>
      <c r="D76" s="141">
        <v>8.0</v>
      </c>
      <c r="E76" s="141">
        <v>6.0</v>
      </c>
      <c r="F76" s="142">
        <f t="shared" si="5"/>
        <v>24</v>
      </c>
      <c r="G76" s="143">
        <f t="shared" si="6"/>
        <v>80</v>
      </c>
      <c r="H76" s="141">
        <v>6.0</v>
      </c>
      <c r="I76" s="141">
        <v>8.0</v>
      </c>
      <c r="J76" s="141">
        <v>10.0</v>
      </c>
      <c r="K76" s="142">
        <f t="shared" si="7"/>
        <v>24</v>
      </c>
      <c r="L76" s="143">
        <f t="shared" si="8"/>
        <v>80</v>
      </c>
      <c r="M76" s="144">
        <v>4.0</v>
      </c>
      <c r="N76" s="144">
        <v>3.0</v>
      </c>
      <c r="O76" s="144">
        <v>2.0</v>
      </c>
      <c r="P76" s="144">
        <v>10.0</v>
      </c>
      <c r="Q76" s="144">
        <v>4.0</v>
      </c>
      <c r="R76" s="144">
        <v>4.0</v>
      </c>
      <c r="S76" s="145">
        <v>27.0</v>
      </c>
      <c r="T76" s="133">
        <v>10.0</v>
      </c>
      <c r="U76" s="135">
        <f t="shared" si="9"/>
        <v>64</v>
      </c>
      <c r="V76" s="135">
        <f t="shared" si="10"/>
        <v>51</v>
      </c>
      <c r="W76" s="135">
        <f t="shared" si="11"/>
        <v>42</v>
      </c>
      <c r="X76" s="135">
        <f t="shared" si="12"/>
        <v>92</v>
      </c>
      <c r="Y76" s="135">
        <f t="shared" si="13"/>
        <v>66</v>
      </c>
      <c r="Z76" s="135">
        <f t="shared" si="14"/>
        <v>70</v>
      </c>
      <c r="AA76" s="137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ht="18.75" customHeight="1">
      <c r="A77" s="139">
        <v>115.0</v>
      </c>
      <c r="B77" s="140" t="s">
        <v>138</v>
      </c>
      <c r="C77" s="141">
        <v>8.0</v>
      </c>
      <c r="D77" s="141">
        <v>9.0</v>
      </c>
      <c r="E77" s="141">
        <v>10.0</v>
      </c>
      <c r="F77" s="142">
        <f t="shared" si="5"/>
        <v>27</v>
      </c>
      <c r="G77" s="143">
        <f t="shared" si="6"/>
        <v>90</v>
      </c>
      <c r="H77" s="141">
        <v>7.0</v>
      </c>
      <c r="I77" s="141">
        <v>8.0</v>
      </c>
      <c r="J77" s="141">
        <v>4.0</v>
      </c>
      <c r="K77" s="142">
        <f t="shared" si="7"/>
        <v>19</v>
      </c>
      <c r="L77" s="143">
        <f t="shared" si="8"/>
        <v>63.33333333</v>
      </c>
      <c r="M77" s="144">
        <v>6.0</v>
      </c>
      <c r="N77" s="144">
        <v>7.0</v>
      </c>
      <c r="O77" s="144">
        <v>7.0</v>
      </c>
      <c r="P77" s="144">
        <v>7.0</v>
      </c>
      <c r="Q77" s="144">
        <v>6.0</v>
      </c>
      <c r="R77" s="144">
        <v>2.0</v>
      </c>
      <c r="S77" s="145">
        <v>35.0</v>
      </c>
      <c r="T77" s="133">
        <v>10.0</v>
      </c>
      <c r="U77" s="135">
        <f t="shared" si="9"/>
        <v>72</v>
      </c>
      <c r="V77" s="135">
        <f t="shared" si="10"/>
        <v>73</v>
      </c>
      <c r="W77" s="135">
        <f t="shared" si="11"/>
        <v>75</v>
      </c>
      <c r="X77" s="135">
        <f t="shared" si="12"/>
        <v>76</v>
      </c>
      <c r="Y77" s="135">
        <f t="shared" si="13"/>
        <v>81</v>
      </c>
      <c r="Z77" s="135">
        <f t="shared" si="14"/>
        <v>43</v>
      </c>
      <c r="AA77" s="137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ht="18.75" customHeight="1">
      <c r="A78" s="139">
        <v>117.0</v>
      </c>
      <c r="B78" s="140" t="s">
        <v>141</v>
      </c>
      <c r="C78" s="141">
        <v>1.0</v>
      </c>
      <c r="D78" s="141">
        <v>4.0</v>
      </c>
      <c r="E78" s="141">
        <v>2.0</v>
      </c>
      <c r="F78" s="142">
        <f t="shared" si="5"/>
        <v>7</v>
      </c>
      <c r="G78" s="143">
        <f t="shared" si="6"/>
        <v>23.33333333</v>
      </c>
      <c r="H78" s="141">
        <v>6.0</v>
      </c>
      <c r="I78" s="155"/>
      <c r="J78" s="141">
        <v>1.0</v>
      </c>
      <c r="K78" s="142">
        <f t="shared" si="7"/>
        <v>7</v>
      </c>
      <c r="L78" s="143">
        <f t="shared" si="8"/>
        <v>23.33333333</v>
      </c>
      <c r="M78" s="144">
        <v>3.0</v>
      </c>
      <c r="N78" s="144">
        <v>2.0</v>
      </c>
      <c r="O78" s="144">
        <v>12.0</v>
      </c>
      <c r="P78" s="144">
        <v>0.0</v>
      </c>
      <c r="Q78" s="144">
        <v>4.0</v>
      </c>
      <c r="R78" s="144">
        <v>2.0</v>
      </c>
      <c r="S78" s="145">
        <v>23.0</v>
      </c>
      <c r="T78" s="133">
        <v>10.0</v>
      </c>
      <c r="U78" s="135">
        <f t="shared" si="9"/>
        <v>40</v>
      </c>
      <c r="V78" s="135">
        <f t="shared" si="10"/>
        <v>38</v>
      </c>
      <c r="W78" s="135">
        <f t="shared" si="11"/>
        <v>84</v>
      </c>
      <c r="X78" s="135">
        <f t="shared" si="12"/>
        <v>32</v>
      </c>
      <c r="Y78" s="135">
        <f t="shared" si="13"/>
        <v>50</v>
      </c>
      <c r="Z78" s="135">
        <f t="shared" si="14"/>
        <v>37</v>
      </c>
      <c r="AA78" s="137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ht="18.75" customHeight="1">
      <c r="A79" s="139">
        <v>119.0</v>
      </c>
      <c r="B79" s="140" t="s">
        <v>143</v>
      </c>
      <c r="C79" s="141">
        <v>10.0</v>
      </c>
      <c r="D79" s="141">
        <v>10.0</v>
      </c>
      <c r="E79" s="141">
        <v>10.0</v>
      </c>
      <c r="F79" s="142">
        <f t="shared" si="5"/>
        <v>30</v>
      </c>
      <c r="G79" s="143">
        <f t="shared" si="6"/>
        <v>100</v>
      </c>
      <c r="H79" s="141">
        <v>10.0</v>
      </c>
      <c r="I79" s="141">
        <v>9.0</v>
      </c>
      <c r="J79" s="141">
        <v>9.0</v>
      </c>
      <c r="K79" s="142">
        <f t="shared" si="7"/>
        <v>28</v>
      </c>
      <c r="L79" s="143">
        <f t="shared" si="8"/>
        <v>93.33333333</v>
      </c>
      <c r="M79" s="144">
        <v>8.0</v>
      </c>
      <c r="N79" s="144">
        <v>12.0</v>
      </c>
      <c r="O79" s="144">
        <v>12.0</v>
      </c>
      <c r="P79" s="144">
        <v>10.0</v>
      </c>
      <c r="Q79" s="144">
        <v>8.0</v>
      </c>
      <c r="R79" s="144">
        <v>7.0</v>
      </c>
      <c r="S79" s="145">
        <v>57.0</v>
      </c>
      <c r="T79" s="133">
        <v>10.0</v>
      </c>
      <c r="U79" s="135">
        <f t="shared" si="9"/>
        <v>88</v>
      </c>
      <c r="V79" s="135">
        <f t="shared" si="10"/>
        <v>100</v>
      </c>
      <c r="W79" s="135">
        <f t="shared" si="11"/>
        <v>100</v>
      </c>
      <c r="X79" s="135">
        <f t="shared" si="12"/>
        <v>100</v>
      </c>
      <c r="Y79" s="135">
        <f t="shared" si="13"/>
        <v>98</v>
      </c>
      <c r="Z79" s="135">
        <f t="shared" si="14"/>
        <v>90.5</v>
      </c>
      <c r="AA79" s="137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ht="18.75" customHeight="1">
      <c r="A80" s="139">
        <v>122.0</v>
      </c>
      <c r="B80" s="140" t="s">
        <v>145</v>
      </c>
      <c r="C80" s="141">
        <v>8.0</v>
      </c>
      <c r="D80" s="141">
        <v>4.0</v>
      </c>
      <c r="E80" s="141">
        <v>7.0</v>
      </c>
      <c r="F80" s="142">
        <f t="shared" si="5"/>
        <v>19</v>
      </c>
      <c r="G80" s="143">
        <f t="shared" si="6"/>
        <v>63.33333333</v>
      </c>
      <c r="H80" s="141">
        <v>5.0</v>
      </c>
      <c r="I80" s="141">
        <v>8.0</v>
      </c>
      <c r="J80" s="141">
        <v>9.0</v>
      </c>
      <c r="K80" s="142">
        <f t="shared" si="7"/>
        <v>22</v>
      </c>
      <c r="L80" s="143">
        <f t="shared" si="8"/>
        <v>73.33333333</v>
      </c>
      <c r="M80" s="144">
        <v>1.0</v>
      </c>
      <c r="N80" s="144">
        <v>7.0</v>
      </c>
      <c r="O80" s="144">
        <v>7.0</v>
      </c>
      <c r="P80" s="144">
        <v>4.0</v>
      </c>
      <c r="Q80" s="144">
        <v>5.0</v>
      </c>
      <c r="R80" s="144">
        <v>5.0</v>
      </c>
      <c r="S80" s="145">
        <v>29.0</v>
      </c>
      <c r="T80" s="133">
        <v>10.0</v>
      </c>
      <c r="U80" s="135">
        <f t="shared" si="9"/>
        <v>42</v>
      </c>
      <c r="V80" s="135">
        <f t="shared" si="10"/>
        <v>63</v>
      </c>
      <c r="W80" s="135">
        <f t="shared" si="11"/>
        <v>69</v>
      </c>
      <c r="X80" s="135">
        <f t="shared" si="12"/>
        <v>54</v>
      </c>
      <c r="Y80" s="135">
        <f t="shared" si="13"/>
        <v>73.5</v>
      </c>
      <c r="Z80" s="135">
        <f t="shared" si="14"/>
        <v>75.5</v>
      </c>
      <c r="AA80" s="137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ht="18.75" customHeight="1">
      <c r="A81" s="139">
        <v>123.0</v>
      </c>
      <c r="B81" s="140" t="s">
        <v>146</v>
      </c>
      <c r="C81" s="141">
        <v>10.0</v>
      </c>
      <c r="D81" s="141">
        <v>7.0</v>
      </c>
      <c r="E81" s="141">
        <v>5.0</v>
      </c>
      <c r="F81" s="142">
        <f t="shared" si="5"/>
        <v>22</v>
      </c>
      <c r="G81" s="143">
        <f t="shared" si="6"/>
        <v>73.33333333</v>
      </c>
      <c r="H81" s="141">
        <v>10.0</v>
      </c>
      <c r="I81" s="141">
        <v>5.0</v>
      </c>
      <c r="J81" s="141">
        <v>10.0</v>
      </c>
      <c r="K81" s="142">
        <f t="shared" si="7"/>
        <v>25</v>
      </c>
      <c r="L81" s="143">
        <f t="shared" si="8"/>
        <v>83.33333333</v>
      </c>
      <c r="M81" s="144">
        <v>8.0</v>
      </c>
      <c r="N81" s="144">
        <v>8.0</v>
      </c>
      <c r="O81" s="144">
        <v>7.0</v>
      </c>
      <c r="P81" s="144">
        <v>2.0</v>
      </c>
      <c r="Q81" s="144">
        <v>5.0</v>
      </c>
      <c r="R81" s="144">
        <v>5.0</v>
      </c>
      <c r="S81" s="145">
        <v>35.0</v>
      </c>
      <c r="T81" s="133">
        <v>10.0</v>
      </c>
      <c r="U81" s="135">
        <f t="shared" si="9"/>
        <v>88</v>
      </c>
      <c r="V81" s="135">
        <f t="shared" si="10"/>
        <v>74</v>
      </c>
      <c r="W81" s="135">
        <f t="shared" si="11"/>
        <v>65</v>
      </c>
      <c r="X81" s="135">
        <f t="shared" si="12"/>
        <v>52</v>
      </c>
      <c r="Y81" s="135">
        <f t="shared" si="13"/>
        <v>67.5</v>
      </c>
      <c r="Z81" s="135">
        <f t="shared" si="14"/>
        <v>77.5</v>
      </c>
      <c r="AA81" s="137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ht="18.75" customHeight="1">
      <c r="A82" s="139">
        <v>124.0</v>
      </c>
      <c r="B82" s="140" t="s">
        <v>148</v>
      </c>
      <c r="C82" s="141">
        <v>9.0</v>
      </c>
      <c r="D82" s="141">
        <v>6.0</v>
      </c>
      <c r="E82" s="141">
        <v>8.0</v>
      </c>
      <c r="F82" s="142">
        <f t="shared" si="5"/>
        <v>23</v>
      </c>
      <c r="G82" s="143">
        <f t="shared" si="6"/>
        <v>76.66666667</v>
      </c>
      <c r="H82" s="141">
        <v>7.0</v>
      </c>
      <c r="I82" s="141">
        <v>8.0</v>
      </c>
      <c r="J82" s="141">
        <v>9.0</v>
      </c>
      <c r="K82" s="142">
        <f t="shared" si="7"/>
        <v>24</v>
      </c>
      <c r="L82" s="143">
        <f t="shared" si="8"/>
        <v>80</v>
      </c>
      <c r="M82" s="144">
        <v>6.0</v>
      </c>
      <c r="N82" s="144">
        <v>8.0</v>
      </c>
      <c r="O82" s="144">
        <v>6.0</v>
      </c>
      <c r="P82" s="144">
        <v>2.0</v>
      </c>
      <c r="Q82" s="144">
        <v>7.0</v>
      </c>
      <c r="R82" s="144">
        <v>7.0</v>
      </c>
      <c r="S82" s="145">
        <v>36.0</v>
      </c>
      <c r="T82" s="133">
        <v>10.0</v>
      </c>
      <c r="U82" s="135">
        <f t="shared" si="9"/>
        <v>74</v>
      </c>
      <c r="V82" s="135">
        <f t="shared" si="10"/>
        <v>72</v>
      </c>
      <c r="W82" s="135">
        <f t="shared" si="11"/>
        <v>66</v>
      </c>
      <c r="X82" s="135">
        <f t="shared" si="12"/>
        <v>46</v>
      </c>
      <c r="Y82" s="135">
        <f t="shared" si="13"/>
        <v>88.5</v>
      </c>
      <c r="Z82" s="135">
        <f t="shared" si="14"/>
        <v>90.5</v>
      </c>
      <c r="AA82" s="137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ht="18.75" customHeight="1">
      <c r="A83" s="139">
        <v>126.0</v>
      </c>
      <c r="B83" s="140" t="s">
        <v>150</v>
      </c>
      <c r="C83" s="141">
        <v>6.0</v>
      </c>
      <c r="D83" s="155"/>
      <c r="E83" s="141">
        <v>10.0</v>
      </c>
      <c r="F83" s="142">
        <f t="shared" si="5"/>
        <v>16</v>
      </c>
      <c r="G83" s="143">
        <f t="shared" si="6"/>
        <v>53.33333333</v>
      </c>
      <c r="H83" s="141">
        <v>8.0</v>
      </c>
      <c r="I83" s="155"/>
      <c r="J83" s="155"/>
      <c r="K83" s="142">
        <f t="shared" si="7"/>
        <v>8</v>
      </c>
      <c r="L83" s="143">
        <f t="shared" si="8"/>
        <v>26.66666667</v>
      </c>
      <c r="M83" s="144">
        <v>3.0</v>
      </c>
      <c r="N83" s="144">
        <v>2.0</v>
      </c>
      <c r="O83" s="144">
        <v>11.0</v>
      </c>
      <c r="P83" s="144">
        <v>2.0</v>
      </c>
      <c r="Q83" s="144">
        <v>0.0</v>
      </c>
      <c r="R83" s="144">
        <v>2.0</v>
      </c>
      <c r="S83" s="145">
        <v>20.0</v>
      </c>
      <c r="T83" s="133">
        <v>10.0</v>
      </c>
      <c r="U83" s="135">
        <f t="shared" si="9"/>
        <v>50</v>
      </c>
      <c r="V83" s="135">
        <f t="shared" si="10"/>
        <v>30</v>
      </c>
      <c r="W83" s="135">
        <f t="shared" si="11"/>
        <v>95</v>
      </c>
      <c r="X83" s="135">
        <f t="shared" si="12"/>
        <v>48</v>
      </c>
      <c r="Y83" s="135">
        <f t="shared" si="13"/>
        <v>20</v>
      </c>
      <c r="Z83" s="135">
        <f t="shared" si="14"/>
        <v>35</v>
      </c>
      <c r="AA83" s="137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ht="18.75" customHeight="1">
      <c r="A84" s="139">
        <v>127.0</v>
      </c>
      <c r="B84" s="140" t="s">
        <v>151</v>
      </c>
      <c r="C84" s="141">
        <v>3.0</v>
      </c>
      <c r="D84" s="141">
        <v>5.0</v>
      </c>
      <c r="E84" s="155"/>
      <c r="F84" s="142">
        <f t="shared" si="5"/>
        <v>8</v>
      </c>
      <c r="G84" s="143">
        <f t="shared" si="6"/>
        <v>26.66666667</v>
      </c>
      <c r="H84" s="141">
        <v>2.0</v>
      </c>
      <c r="I84" s="155"/>
      <c r="J84" s="155"/>
      <c r="K84" s="142">
        <f t="shared" si="7"/>
        <v>2</v>
      </c>
      <c r="L84" s="143">
        <f t="shared" si="8"/>
        <v>6.666666667</v>
      </c>
      <c r="M84" s="144">
        <v>0.0</v>
      </c>
      <c r="N84" s="144">
        <v>8.0</v>
      </c>
      <c r="O84" s="144">
        <v>9.0</v>
      </c>
      <c r="P84" s="144">
        <v>3.0</v>
      </c>
      <c r="Q84" s="144">
        <v>0.0</v>
      </c>
      <c r="R84" s="144">
        <v>0.0</v>
      </c>
      <c r="S84" s="145">
        <v>20.0</v>
      </c>
      <c r="T84" s="133">
        <v>10.0</v>
      </c>
      <c r="U84" s="135">
        <f t="shared" si="9"/>
        <v>26</v>
      </c>
      <c r="V84" s="135">
        <f t="shared" si="10"/>
        <v>70</v>
      </c>
      <c r="W84" s="135">
        <f t="shared" si="11"/>
        <v>65</v>
      </c>
      <c r="X84" s="135">
        <f t="shared" si="12"/>
        <v>42</v>
      </c>
      <c r="Y84" s="135">
        <f t="shared" si="13"/>
        <v>20</v>
      </c>
      <c r="Z84" s="135">
        <f t="shared" si="14"/>
        <v>20</v>
      </c>
      <c r="AA84" s="137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ht="18.75" customHeight="1">
      <c r="A85" s="139">
        <v>128.0</v>
      </c>
      <c r="B85" s="140" t="s">
        <v>153</v>
      </c>
      <c r="C85" s="141">
        <v>7.0</v>
      </c>
      <c r="D85" s="141">
        <v>4.0</v>
      </c>
      <c r="E85" s="141">
        <v>10.0</v>
      </c>
      <c r="F85" s="142">
        <f t="shared" si="5"/>
        <v>21</v>
      </c>
      <c r="G85" s="143">
        <f t="shared" si="6"/>
        <v>70</v>
      </c>
      <c r="H85" s="141">
        <v>10.0</v>
      </c>
      <c r="I85" s="141">
        <v>5.0</v>
      </c>
      <c r="J85" s="141">
        <v>5.0</v>
      </c>
      <c r="K85" s="142">
        <f t="shared" si="7"/>
        <v>20</v>
      </c>
      <c r="L85" s="143">
        <f t="shared" si="8"/>
        <v>66.66666667</v>
      </c>
      <c r="M85" s="144">
        <v>4.0</v>
      </c>
      <c r="N85" s="144">
        <v>7.0</v>
      </c>
      <c r="O85" s="144">
        <v>3.0</v>
      </c>
      <c r="P85" s="144">
        <v>0.0</v>
      </c>
      <c r="Q85" s="144">
        <v>1.0</v>
      </c>
      <c r="R85" s="144">
        <v>2.0</v>
      </c>
      <c r="S85" s="145">
        <v>17.0</v>
      </c>
      <c r="T85" s="133">
        <v>10.0</v>
      </c>
      <c r="U85" s="135">
        <f t="shared" si="9"/>
        <v>58</v>
      </c>
      <c r="V85" s="135">
        <f t="shared" si="10"/>
        <v>63</v>
      </c>
      <c r="W85" s="135">
        <f t="shared" si="11"/>
        <v>55</v>
      </c>
      <c r="X85" s="135">
        <f t="shared" si="12"/>
        <v>40</v>
      </c>
      <c r="Y85" s="135">
        <f t="shared" si="13"/>
        <v>37.5</v>
      </c>
      <c r="Z85" s="135">
        <f t="shared" si="14"/>
        <v>45</v>
      </c>
      <c r="AA85" s="137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ht="18.75" customHeight="1">
      <c r="A86" s="139">
        <v>129.0</v>
      </c>
      <c r="B86" s="140" t="s">
        <v>154</v>
      </c>
      <c r="C86" s="141">
        <v>10.0</v>
      </c>
      <c r="D86" s="141">
        <v>8.0</v>
      </c>
      <c r="E86" s="141">
        <v>7.0</v>
      </c>
      <c r="F86" s="142">
        <f t="shared" si="5"/>
        <v>25</v>
      </c>
      <c r="G86" s="143">
        <f t="shared" si="6"/>
        <v>83.33333333</v>
      </c>
      <c r="H86" s="141">
        <v>7.0</v>
      </c>
      <c r="I86" s="141">
        <v>5.0</v>
      </c>
      <c r="J86" s="141">
        <v>7.0</v>
      </c>
      <c r="K86" s="142">
        <f t="shared" si="7"/>
        <v>19</v>
      </c>
      <c r="L86" s="143">
        <f t="shared" si="8"/>
        <v>63.33333333</v>
      </c>
      <c r="M86" s="144">
        <v>7.0</v>
      </c>
      <c r="N86" s="144">
        <v>9.0</v>
      </c>
      <c r="O86" s="144">
        <v>9.0</v>
      </c>
      <c r="P86" s="144">
        <v>4.0</v>
      </c>
      <c r="Q86" s="144">
        <v>3.0</v>
      </c>
      <c r="R86" s="144">
        <v>3.0</v>
      </c>
      <c r="S86" s="145">
        <v>35.0</v>
      </c>
      <c r="T86" s="133">
        <v>10.0</v>
      </c>
      <c r="U86" s="135">
        <f t="shared" si="9"/>
        <v>82</v>
      </c>
      <c r="V86" s="135">
        <f t="shared" si="10"/>
        <v>81</v>
      </c>
      <c r="W86" s="135">
        <f t="shared" si="11"/>
        <v>79</v>
      </c>
      <c r="X86" s="135">
        <f t="shared" si="12"/>
        <v>58</v>
      </c>
      <c r="Y86" s="135">
        <f t="shared" si="13"/>
        <v>52.5</v>
      </c>
      <c r="Z86" s="135">
        <f t="shared" si="14"/>
        <v>56.5</v>
      </c>
      <c r="AA86" s="137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ht="18.75" customHeight="1">
      <c r="A87" s="139">
        <v>131.0</v>
      </c>
      <c r="B87" s="140" t="s">
        <v>155</v>
      </c>
      <c r="C87" s="141">
        <v>7.0</v>
      </c>
      <c r="D87" s="141">
        <v>6.0</v>
      </c>
      <c r="E87" s="155"/>
      <c r="F87" s="142">
        <f t="shared" si="5"/>
        <v>13</v>
      </c>
      <c r="G87" s="143">
        <f t="shared" si="6"/>
        <v>43.33333333</v>
      </c>
      <c r="H87" s="141">
        <v>4.0</v>
      </c>
      <c r="I87" s="155"/>
      <c r="J87" s="141">
        <v>3.0</v>
      </c>
      <c r="K87" s="142">
        <f t="shared" si="7"/>
        <v>7</v>
      </c>
      <c r="L87" s="143">
        <f t="shared" si="8"/>
        <v>23.33333333</v>
      </c>
      <c r="M87" s="144">
        <v>8.0</v>
      </c>
      <c r="N87" s="144">
        <v>6.0</v>
      </c>
      <c r="O87" s="144">
        <v>8.0</v>
      </c>
      <c r="P87" s="144">
        <v>2.0</v>
      </c>
      <c r="Q87" s="144">
        <v>7.0</v>
      </c>
      <c r="R87" s="144">
        <v>7.0</v>
      </c>
      <c r="S87" s="145">
        <v>38.0</v>
      </c>
      <c r="T87" s="133">
        <v>10.0</v>
      </c>
      <c r="U87" s="135">
        <f t="shared" si="9"/>
        <v>82</v>
      </c>
      <c r="V87" s="135">
        <f t="shared" si="10"/>
        <v>62</v>
      </c>
      <c r="W87" s="135">
        <f t="shared" si="11"/>
        <v>60</v>
      </c>
      <c r="X87" s="135">
        <f t="shared" si="12"/>
        <v>40</v>
      </c>
      <c r="Y87" s="135">
        <f t="shared" si="13"/>
        <v>72.5</v>
      </c>
      <c r="Z87" s="135">
        <f t="shared" si="14"/>
        <v>78.5</v>
      </c>
      <c r="AA87" s="137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ht="18.75" customHeight="1">
      <c r="A88" s="139">
        <v>132.0</v>
      </c>
      <c r="B88" s="140" t="s">
        <v>156</v>
      </c>
      <c r="C88" s="141">
        <v>10.0</v>
      </c>
      <c r="D88" s="141">
        <v>9.0</v>
      </c>
      <c r="E88" s="141">
        <v>5.0</v>
      </c>
      <c r="F88" s="142">
        <f t="shared" si="5"/>
        <v>24</v>
      </c>
      <c r="G88" s="143">
        <f t="shared" si="6"/>
        <v>80</v>
      </c>
      <c r="H88" s="141">
        <v>10.0</v>
      </c>
      <c r="I88" s="141">
        <v>10.0</v>
      </c>
      <c r="J88" s="141">
        <v>10.0</v>
      </c>
      <c r="K88" s="142">
        <f t="shared" si="7"/>
        <v>30</v>
      </c>
      <c r="L88" s="143">
        <f t="shared" si="8"/>
        <v>100</v>
      </c>
      <c r="M88" s="144">
        <v>5.0</v>
      </c>
      <c r="N88" s="144">
        <v>9.0</v>
      </c>
      <c r="O88" s="144">
        <v>8.0</v>
      </c>
      <c r="P88" s="144">
        <v>2.0</v>
      </c>
      <c r="Q88" s="144">
        <v>4.0</v>
      </c>
      <c r="R88" s="144">
        <v>4.0</v>
      </c>
      <c r="S88" s="145">
        <v>32.0</v>
      </c>
      <c r="T88" s="133">
        <v>10.0</v>
      </c>
      <c r="U88" s="135">
        <f t="shared" si="9"/>
        <v>70</v>
      </c>
      <c r="V88" s="135">
        <f t="shared" si="10"/>
        <v>83</v>
      </c>
      <c r="W88" s="135">
        <f t="shared" si="11"/>
        <v>70</v>
      </c>
      <c r="X88" s="135">
        <f t="shared" si="12"/>
        <v>52</v>
      </c>
      <c r="Y88" s="135">
        <f t="shared" si="13"/>
        <v>70</v>
      </c>
      <c r="Z88" s="135">
        <f t="shared" si="14"/>
        <v>70</v>
      </c>
      <c r="AA88" s="137"/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ht="18.75" customHeight="1">
      <c r="A89" s="139">
        <v>133.0</v>
      </c>
      <c r="B89" s="140" t="s">
        <v>157</v>
      </c>
      <c r="C89" s="155"/>
      <c r="D89" s="155"/>
      <c r="E89" s="155"/>
      <c r="F89" s="142">
        <f t="shared" si="5"/>
        <v>0</v>
      </c>
      <c r="G89" s="143">
        <f t="shared" si="6"/>
        <v>0</v>
      </c>
      <c r="H89" s="141">
        <v>1.0</v>
      </c>
      <c r="I89" s="155"/>
      <c r="J89" s="155"/>
      <c r="K89" s="142">
        <f t="shared" si="7"/>
        <v>1</v>
      </c>
      <c r="L89" s="143">
        <f t="shared" si="8"/>
        <v>3.333333333</v>
      </c>
      <c r="M89" s="144">
        <v>4.0</v>
      </c>
      <c r="N89" s="144">
        <v>6.0</v>
      </c>
      <c r="O89" s="144">
        <v>0.0</v>
      </c>
      <c r="P89" s="144">
        <v>0.0</v>
      </c>
      <c r="Q89" s="144">
        <v>3.0</v>
      </c>
      <c r="R89" s="144">
        <v>6.0</v>
      </c>
      <c r="S89" s="145">
        <v>19.0</v>
      </c>
      <c r="T89" s="133">
        <v>10.0</v>
      </c>
      <c r="U89" s="135">
        <f t="shared" si="9"/>
        <v>44</v>
      </c>
      <c r="V89" s="135">
        <f t="shared" si="10"/>
        <v>50</v>
      </c>
      <c r="W89" s="135">
        <f t="shared" si="11"/>
        <v>20</v>
      </c>
      <c r="X89" s="135">
        <f t="shared" si="12"/>
        <v>22</v>
      </c>
      <c r="Y89" s="135">
        <f t="shared" si="13"/>
        <v>42.5</v>
      </c>
      <c r="Z89" s="135">
        <f t="shared" si="14"/>
        <v>65</v>
      </c>
      <c r="AA89" s="137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ht="18.75" customHeight="1">
      <c r="A90" s="139">
        <v>134.0</v>
      </c>
      <c r="B90" s="140" t="s">
        <v>158</v>
      </c>
      <c r="C90" s="141">
        <v>9.0</v>
      </c>
      <c r="D90" s="141">
        <v>6.0</v>
      </c>
      <c r="E90" s="141">
        <v>3.0</v>
      </c>
      <c r="F90" s="142">
        <f t="shared" si="5"/>
        <v>18</v>
      </c>
      <c r="G90" s="143">
        <f t="shared" si="6"/>
        <v>60</v>
      </c>
      <c r="H90" s="141">
        <v>9.0</v>
      </c>
      <c r="I90" s="155"/>
      <c r="J90" s="155"/>
      <c r="K90" s="142">
        <f t="shared" si="7"/>
        <v>9</v>
      </c>
      <c r="L90" s="143">
        <f t="shared" si="8"/>
        <v>30</v>
      </c>
      <c r="M90" s="144">
        <v>4.0</v>
      </c>
      <c r="N90" s="144">
        <v>9.0</v>
      </c>
      <c r="O90" s="144">
        <v>4.0</v>
      </c>
      <c r="P90" s="144">
        <v>3.0</v>
      </c>
      <c r="Q90" s="144">
        <v>0.0</v>
      </c>
      <c r="R90" s="144">
        <v>5.0</v>
      </c>
      <c r="S90" s="145">
        <v>25.0</v>
      </c>
      <c r="T90" s="133">
        <v>10.0</v>
      </c>
      <c r="U90" s="135">
        <f t="shared" si="9"/>
        <v>62</v>
      </c>
      <c r="V90" s="135">
        <f t="shared" si="10"/>
        <v>77</v>
      </c>
      <c r="W90" s="135">
        <f t="shared" si="11"/>
        <v>46</v>
      </c>
      <c r="X90" s="135">
        <f t="shared" si="12"/>
        <v>56</v>
      </c>
      <c r="Y90" s="135">
        <f t="shared" si="13"/>
        <v>20</v>
      </c>
      <c r="Z90" s="135">
        <f t="shared" si="14"/>
        <v>57.5</v>
      </c>
      <c r="AA90" s="137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ht="18.75" customHeight="1">
      <c r="A91" s="139">
        <v>135.0</v>
      </c>
      <c r="B91" s="140" t="s">
        <v>159</v>
      </c>
      <c r="C91" s="141">
        <v>6.0</v>
      </c>
      <c r="D91" s="141">
        <v>8.0</v>
      </c>
      <c r="E91" s="141">
        <v>3.0</v>
      </c>
      <c r="F91" s="142">
        <f t="shared" si="5"/>
        <v>17</v>
      </c>
      <c r="G91" s="143">
        <f t="shared" si="6"/>
        <v>56.66666667</v>
      </c>
      <c r="H91" s="141">
        <v>10.0</v>
      </c>
      <c r="I91" s="141">
        <v>6.0</v>
      </c>
      <c r="J91" s="141">
        <v>9.0</v>
      </c>
      <c r="K91" s="142">
        <f t="shared" si="7"/>
        <v>25</v>
      </c>
      <c r="L91" s="143">
        <f t="shared" si="8"/>
        <v>83.33333333</v>
      </c>
      <c r="M91" s="144">
        <v>5.0</v>
      </c>
      <c r="N91" s="144">
        <v>8.0</v>
      </c>
      <c r="O91" s="144">
        <v>5.0</v>
      </c>
      <c r="P91" s="144">
        <v>0.0</v>
      </c>
      <c r="Q91" s="144">
        <v>0.0</v>
      </c>
      <c r="R91" s="144">
        <v>1.0</v>
      </c>
      <c r="S91" s="145">
        <v>19.0</v>
      </c>
      <c r="T91" s="133">
        <v>10.0</v>
      </c>
      <c r="U91" s="135">
        <f t="shared" si="9"/>
        <v>62</v>
      </c>
      <c r="V91" s="135">
        <f t="shared" si="10"/>
        <v>76</v>
      </c>
      <c r="W91" s="135">
        <f t="shared" si="11"/>
        <v>51</v>
      </c>
      <c r="X91" s="135">
        <f t="shared" si="12"/>
        <v>40</v>
      </c>
      <c r="Y91" s="135">
        <f t="shared" si="13"/>
        <v>32</v>
      </c>
      <c r="Z91" s="135">
        <f t="shared" si="14"/>
        <v>45.5</v>
      </c>
      <c r="AA91" s="137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ht="18.75" customHeight="1">
      <c r="A92" s="139">
        <v>136.0</v>
      </c>
      <c r="B92" s="140" t="s">
        <v>160</v>
      </c>
      <c r="C92" s="141">
        <v>10.0</v>
      </c>
      <c r="D92" s="141">
        <v>9.0</v>
      </c>
      <c r="E92" s="141">
        <v>4.0</v>
      </c>
      <c r="F92" s="142">
        <f t="shared" si="5"/>
        <v>23</v>
      </c>
      <c r="G92" s="143">
        <f t="shared" si="6"/>
        <v>76.66666667</v>
      </c>
      <c r="H92" s="141">
        <v>9.0</v>
      </c>
      <c r="I92" s="141">
        <v>8.0</v>
      </c>
      <c r="J92" s="141">
        <v>8.0</v>
      </c>
      <c r="K92" s="142">
        <f t="shared" si="7"/>
        <v>25</v>
      </c>
      <c r="L92" s="143">
        <f t="shared" si="8"/>
        <v>83.33333333</v>
      </c>
      <c r="M92" s="144">
        <v>9.0</v>
      </c>
      <c r="N92" s="144">
        <v>3.0</v>
      </c>
      <c r="O92" s="144">
        <v>8.0</v>
      </c>
      <c r="P92" s="144">
        <v>3.0</v>
      </c>
      <c r="Q92" s="144">
        <v>5.0</v>
      </c>
      <c r="R92" s="144">
        <v>6.0</v>
      </c>
      <c r="S92" s="145">
        <v>34.0</v>
      </c>
      <c r="T92" s="133">
        <v>10.0</v>
      </c>
      <c r="U92" s="135">
        <f t="shared" si="9"/>
        <v>94</v>
      </c>
      <c r="V92" s="135">
        <f t="shared" si="10"/>
        <v>53</v>
      </c>
      <c r="W92" s="135">
        <f t="shared" si="11"/>
        <v>68</v>
      </c>
      <c r="X92" s="135">
        <f t="shared" si="12"/>
        <v>56</v>
      </c>
      <c r="Y92" s="135">
        <f t="shared" si="13"/>
        <v>73.5</v>
      </c>
      <c r="Z92" s="135">
        <f t="shared" si="14"/>
        <v>81</v>
      </c>
      <c r="AA92" s="137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ht="18.75" customHeight="1">
      <c r="A93" s="139">
        <v>137.0</v>
      </c>
      <c r="B93" s="140" t="s">
        <v>161</v>
      </c>
      <c r="C93" s="141">
        <v>10.0</v>
      </c>
      <c r="D93" s="141">
        <v>9.0</v>
      </c>
      <c r="E93" s="141">
        <v>10.0</v>
      </c>
      <c r="F93" s="142">
        <f t="shared" si="5"/>
        <v>29</v>
      </c>
      <c r="G93" s="143">
        <f t="shared" si="6"/>
        <v>96.66666667</v>
      </c>
      <c r="H93" s="141">
        <v>7.0</v>
      </c>
      <c r="I93" s="141">
        <v>9.0</v>
      </c>
      <c r="J93" s="141">
        <v>10.0</v>
      </c>
      <c r="K93" s="142">
        <f t="shared" si="7"/>
        <v>26</v>
      </c>
      <c r="L93" s="143">
        <f t="shared" si="8"/>
        <v>86.66666667</v>
      </c>
      <c r="M93" s="144">
        <v>8.0</v>
      </c>
      <c r="N93" s="144">
        <v>7.0</v>
      </c>
      <c r="O93" s="144">
        <v>8.0</v>
      </c>
      <c r="P93" s="144">
        <v>7.0</v>
      </c>
      <c r="Q93" s="144">
        <v>8.0</v>
      </c>
      <c r="R93" s="144">
        <v>6.0</v>
      </c>
      <c r="S93" s="145">
        <v>44.0</v>
      </c>
      <c r="T93" s="133">
        <v>10.0</v>
      </c>
      <c r="U93" s="135">
        <f t="shared" si="9"/>
        <v>88</v>
      </c>
      <c r="V93" s="135">
        <f t="shared" si="10"/>
        <v>73</v>
      </c>
      <c r="W93" s="135">
        <f t="shared" si="11"/>
        <v>80</v>
      </c>
      <c r="X93" s="135">
        <f t="shared" si="12"/>
        <v>76</v>
      </c>
      <c r="Y93" s="135">
        <f t="shared" si="13"/>
        <v>98</v>
      </c>
      <c r="Z93" s="135">
        <f t="shared" si="14"/>
        <v>85</v>
      </c>
      <c r="AA93" s="137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ht="18.75" customHeight="1">
      <c r="A94" s="139">
        <v>138.0</v>
      </c>
      <c r="B94" s="140" t="s">
        <v>162</v>
      </c>
      <c r="C94" s="141">
        <v>9.0</v>
      </c>
      <c r="D94" s="141">
        <v>19.0</v>
      </c>
      <c r="E94" s="141">
        <v>4.0</v>
      </c>
      <c r="F94" s="142">
        <f t="shared" si="5"/>
        <v>32</v>
      </c>
      <c r="G94" s="143">
        <f t="shared" si="6"/>
        <v>106.6666667</v>
      </c>
      <c r="H94" s="141">
        <v>10.0</v>
      </c>
      <c r="I94" s="141">
        <v>5.0</v>
      </c>
      <c r="J94" s="141">
        <v>7.0</v>
      </c>
      <c r="K94" s="142">
        <f t="shared" si="7"/>
        <v>22</v>
      </c>
      <c r="L94" s="143">
        <f t="shared" si="8"/>
        <v>73.33333333</v>
      </c>
      <c r="M94" s="144">
        <v>4.0</v>
      </c>
      <c r="N94" s="144">
        <v>9.0</v>
      </c>
      <c r="O94" s="144">
        <v>7.0</v>
      </c>
      <c r="P94" s="144">
        <v>0.0</v>
      </c>
      <c r="Q94" s="144">
        <v>4.0</v>
      </c>
      <c r="R94" s="144">
        <v>4.0</v>
      </c>
      <c r="S94" s="145">
        <v>28.0</v>
      </c>
      <c r="T94" s="133">
        <v>10.0</v>
      </c>
      <c r="U94" s="135">
        <f t="shared" si="9"/>
        <v>62</v>
      </c>
      <c r="V94" s="135">
        <f t="shared" si="10"/>
        <v>103</v>
      </c>
      <c r="W94" s="135">
        <f t="shared" si="11"/>
        <v>63</v>
      </c>
      <c r="X94" s="135">
        <f t="shared" si="12"/>
        <v>40</v>
      </c>
      <c r="Y94" s="135">
        <f t="shared" si="13"/>
        <v>60</v>
      </c>
      <c r="Z94" s="135">
        <f t="shared" si="14"/>
        <v>64</v>
      </c>
      <c r="AA94" s="137"/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ht="18.75" customHeight="1">
      <c r="A95" s="139">
        <v>139.0</v>
      </c>
      <c r="B95" s="140" t="s">
        <v>163</v>
      </c>
      <c r="C95" s="141">
        <v>10.0</v>
      </c>
      <c r="D95" s="141">
        <v>9.0</v>
      </c>
      <c r="E95" s="141">
        <v>10.0</v>
      </c>
      <c r="F95" s="142">
        <f t="shared" si="5"/>
        <v>29</v>
      </c>
      <c r="G95" s="143">
        <f t="shared" si="6"/>
        <v>96.66666667</v>
      </c>
      <c r="H95" s="141">
        <v>10.0</v>
      </c>
      <c r="I95" s="141">
        <v>10.0</v>
      </c>
      <c r="J95" s="141">
        <v>10.0</v>
      </c>
      <c r="K95" s="142">
        <f t="shared" si="7"/>
        <v>30</v>
      </c>
      <c r="L95" s="143">
        <f t="shared" si="8"/>
        <v>100</v>
      </c>
      <c r="M95" s="144">
        <v>4.0</v>
      </c>
      <c r="N95" s="144">
        <v>8.0</v>
      </c>
      <c r="O95" s="144">
        <v>7.0</v>
      </c>
      <c r="P95" s="144">
        <v>5.0</v>
      </c>
      <c r="Q95" s="144">
        <v>7.0</v>
      </c>
      <c r="R95" s="144">
        <v>5.0</v>
      </c>
      <c r="S95" s="145">
        <v>36.0</v>
      </c>
      <c r="T95" s="133">
        <v>10.0</v>
      </c>
      <c r="U95" s="135">
        <f t="shared" si="9"/>
        <v>64</v>
      </c>
      <c r="V95" s="135">
        <f t="shared" si="10"/>
        <v>78</v>
      </c>
      <c r="W95" s="135">
        <f t="shared" si="11"/>
        <v>75</v>
      </c>
      <c r="X95" s="135">
        <f t="shared" si="12"/>
        <v>70</v>
      </c>
      <c r="Y95" s="135">
        <f t="shared" si="13"/>
        <v>92.5</v>
      </c>
      <c r="Z95" s="135">
        <f t="shared" si="14"/>
        <v>77.5</v>
      </c>
      <c r="AA95" s="137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ht="18.75" customHeight="1">
      <c r="A96" s="139">
        <v>140.0</v>
      </c>
      <c r="B96" s="140" t="s">
        <v>164</v>
      </c>
      <c r="C96" s="141">
        <v>10.0</v>
      </c>
      <c r="D96" s="141">
        <v>9.0</v>
      </c>
      <c r="E96" s="141">
        <v>10.0</v>
      </c>
      <c r="F96" s="142">
        <f t="shared" si="5"/>
        <v>29</v>
      </c>
      <c r="G96" s="143">
        <f t="shared" si="6"/>
        <v>96.66666667</v>
      </c>
      <c r="H96" s="141">
        <v>10.0</v>
      </c>
      <c r="I96" s="141">
        <v>10.0</v>
      </c>
      <c r="J96" s="141">
        <v>8.0</v>
      </c>
      <c r="K96" s="142">
        <f t="shared" si="7"/>
        <v>28</v>
      </c>
      <c r="L96" s="143">
        <f t="shared" si="8"/>
        <v>93.33333333</v>
      </c>
      <c r="M96" s="144">
        <v>8.0</v>
      </c>
      <c r="N96" s="144">
        <v>8.0</v>
      </c>
      <c r="O96" s="144">
        <v>9.0</v>
      </c>
      <c r="P96" s="144">
        <v>3.0</v>
      </c>
      <c r="Q96" s="144">
        <v>8.0</v>
      </c>
      <c r="R96" s="144">
        <v>4.0</v>
      </c>
      <c r="S96" s="145">
        <v>40.0</v>
      </c>
      <c r="T96" s="133">
        <v>10.0</v>
      </c>
      <c r="U96" s="135">
        <f t="shared" si="9"/>
        <v>88</v>
      </c>
      <c r="V96" s="135">
        <f t="shared" si="10"/>
        <v>78</v>
      </c>
      <c r="W96" s="135">
        <f t="shared" si="11"/>
        <v>85</v>
      </c>
      <c r="X96" s="135">
        <f t="shared" si="12"/>
        <v>58</v>
      </c>
      <c r="Y96" s="135">
        <f t="shared" si="13"/>
        <v>100</v>
      </c>
      <c r="Z96" s="135">
        <f t="shared" si="14"/>
        <v>66</v>
      </c>
      <c r="AA96" s="137"/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ht="18.75" customHeight="1">
      <c r="A97" s="139">
        <v>141.0</v>
      </c>
      <c r="B97" s="140" t="s">
        <v>165</v>
      </c>
      <c r="C97" s="141">
        <v>9.0</v>
      </c>
      <c r="D97" s="141">
        <v>4.0</v>
      </c>
      <c r="E97" s="155"/>
      <c r="F97" s="142">
        <f t="shared" si="5"/>
        <v>13</v>
      </c>
      <c r="G97" s="143">
        <f t="shared" si="6"/>
        <v>43.33333333</v>
      </c>
      <c r="H97" s="141">
        <v>3.0</v>
      </c>
      <c r="I97" s="155"/>
      <c r="J97" s="141">
        <v>2.0</v>
      </c>
      <c r="K97" s="142">
        <f t="shared" si="7"/>
        <v>5</v>
      </c>
      <c r="L97" s="143">
        <f t="shared" si="8"/>
        <v>16.66666667</v>
      </c>
      <c r="M97" s="144">
        <v>2.0</v>
      </c>
      <c r="N97" s="144">
        <v>8.0</v>
      </c>
      <c r="O97" s="144">
        <v>5.0</v>
      </c>
      <c r="P97" s="144">
        <v>3.0</v>
      </c>
      <c r="Q97" s="144">
        <v>0.0</v>
      </c>
      <c r="R97" s="144">
        <v>1.0</v>
      </c>
      <c r="S97" s="145">
        <v>19.0</v>
      </c>
      <c r="T97" s="133">
        <v>10.0</v>
      </c>
      <c r="U97" s="135">
        <f t="shared" si="9"/>
        <v>50</v>
      </c>
      <c r="V97" s="135">
        <f t="shared" si="10"/>
        <v>68</v>
      </c>
      <c r="W97" s="135">
        <f t="shared" si="11"/>
        <v>45</v>
      </c>
      <c r="X97" s="135">
        <f t="shared" si="12"/>
        <v>44</v>
      </c>
      <c r="Y97" s="135">
        <f t="shared" si="13"/>
        <v>20</v>
      </c>
      <c r="Z97" s="135">
        <f t="shared" si="14"/>
        <v>31.5</v>
      </c>
      <c r="AA97" s="137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ht="18.75" customHeight="1">
      <c r="A98" s="139">
        <v>142.0</v>
      </c>
      <c r="B98" s="140" t="s">
        <v>166</v>
      </c>
      <c r="C98" s="141">
        <v>5.0</v>
      </c>
      <c r="D98" s="141">
        <v>3.0</v>
      </c>
      <c r="E98" s="141">
        <v>5.0</v>
      </c>
      <c r="F98" s="142">
        <f t="shared" si="5"/>
        <v>13</v>
      </c>
      <c r="G98" s="143">
        <f t="shared" si="6"/>
        <v>43.33333333</v>
      </c>
      <c r="H98" s="141">
        <v>10.0</v>
      </c>
      <c r="I98" s="141">
        <v>10.0</v>
      </c>
      <c r="J98" s="141">
        <v>9.0</v>
      </c>
      <c r="K98" s="142">
        <f t="shared" si="7"/>
        <v>29</v>
      </c>
      <c r="L98" s="143">
        <f t="shared" si="8"/>
        <v>96.66666667</v>
      </c>
      <c r="M98" s="144">
        <v>3.0</v>
      </c>
      <c r="N98" s="144">
        <v>0.0</v>
      </c>
      <c r="O98" s="144">
        <v>7.0</v>
      </c>
      <c r="P98" s="144">
        <v>2.0</v>
      </c>
      <c r="Q98" s="144">
        <v>3.0</v>
      </c>
      <c r="R98" s="144">
        <v>0.0</v>
      </c>
      <c r="S98" s="145">
        <v>15.0</v>
      </c>
      <c r="T98" s="133">
        <v>10.0</v>
      </c>
      <c r="U98" s="135">
        <f t="shared" si="9"/>
        <v>48</v>
      </c>
      <c r="V98" s="135">
        <f t="shared" si="10"/>
        <v>26</v>
      </c>
      <c r="W98" s="135">
        <f t="shared" si="11"/>
        <v>65</v>
      </c>
      <c r="X98" s="135">
        <f t="shared" si="12"/>
        <v>52</v>
      </c>
      <c r="Y98" s="135">
        <f t="shared" si="13"/>
        <v>62.5</v>
      </c>
      <c r="Z98" s="135">
        <f t="shared" si="14"/>
        <v>38</v>
      </c>
      <c r="AA98" s="137"/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ht="18.75" customHeight="1">
      <c r="A99" s="139">
        <v>143.0</v>
      </c>
      <c r="B99" s="140" t="s">
        <v>167</v>
      </c>
      <c r="C99" s="141">
        <v>8.0</v>
      </c>
      <c r="D99" s="141">
        <v>5.0</v>
      </c>
      <c r="E99" s="155"/>
      <c r="F99" s="142">
        <f t="shared" si="5"/>
        <v>13</v>
      </c>
      <c r="G99" s="143">
        <f t="shared" si="6"/>
        <v>43.33333333</v>
      </c>
      <c r="H99" s="141">
        <v>8.0</v>
      </c>
      <c r="I99" s="141">
        <v>3.0</v>
      </c>
      <c r="J99" s="141">
        <v>1.0</v>
      </c>
      <c r="K99" s="142">
        <f t="shared" si="7"/>
        <v>12</v>
      </c>
      <c r="L99" s="143">
        <f t="shared" si="8"/>
        <v>40</v>
      </c>
      <c r="M99" s="144">
        <v>8.0</v>
      </c>
      <c r="N99" s="144">
        <v>6.0</v>
      </c>
      <c r="O99" s="144">
        <v>5.0</v>
      </c>
      <c r="P99" s="144">
        <v>2.0</v>
      </c>
      <c r="Q99" s="144">
        <v>5.0</v>
      </c>
      <c r="R99" s="144">
        <v>4.0</v>
      </c>
      <c r="S99" s="145">
        <v>30.0</v>
      </c>
      <c r="T99" s="133">
        <v>10.0</v>
      </c>
      <c r="U99" s="135">
        <f t="shared" si="9"/>
        <v>84</v>
      </c>
      <c r="V99" s="135">
        <f t="shared" si="10"/>
        <v>60</v>
      </c>
      <c r="W99" s="135">
        <f t="shared" si="11"/>
        <v>45</v>
      </c>
      <c r="X99" s="135">
        <f t="shared" si="12"/>
        <v>48</v>
      </c>
      <c r="Y99" s="135">
        <f t="shared" si="13"/>
        <v>63.5</v>
      </c>
      <c r="Z99" s="135">
        <f t="shared" si="14"/>
        <v>52</v>
      </c>
      <c r="AA99" s="137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ht="18.75" customHeight="1">
      <c r="A100" s="139">
        <v>144.0</v>
      </c>
      <c r="B100" s="140" t="s">
        <v>168</v>
      </c>
      <c r="C100" s="141">
        <v>10.0</v>
      </c>
      <c r="D100" s="155"/>
      <c r="E100" s="155"/>
      <c r="F100" s="142">
        <f t="shared" si="5"/>
        <v>10</v>
      </c>
      <c r="G100" s="143">
        <f t="shared" si="6"/>
        <v>33.33333333</v>
      </c>
      <c r="H100" s="141">
        <v>9.0</v>
      </c>
      <c r="I100" s="141">
        <v>1.0</v>
      </c>
      <c r="J100" s="155"/>
      <c r="K100" s="142">
        <f t="shared" si="7"/>
        <v>10</v>
      </c>
      <c r="L100" s="143">
        <f t="shared" si="8"/>
        <v>33.33333333</v>
      </c>
      <c r="M100" s="144">
        <v>6.0</v>
      </c>
      <c r="N100" s="144">
        <v>9.0</v>
      </c>
      <c r="O100" s="144">
        <v>8.0</v>
      </c>
      <c r="P100" s="144">
        <v>4.0</v>
      </c>
      <c r="Q100" s="144">
        <v>0.0</v>
      </c>
      <c r="R100" s="144">
        <v>5.0</v>
      </c>
      <c r="S100" s="145">
        <v>32.0</v>
      </c>
      <c r="T100" s="133">
        <v>10.0</v>
      </c>
      <c r="U100" s="135">
        <f t="shared" si="9"/>
        <v>76</v>
      </c>
      <c r="V100" s="135">
        <f t="shared" si="10"/>
        <v>65</v>
      </c>
      <c r="W100" s="135">
        <f t="shared" si="11"/>
        <v>60</v>
      </c>
      <c r="X100" s="135">
        <f t="shared" si="12"/>
        <v>62</v>
      </c>
      <c r="Y100" s="135">
        <f t="shared" si="13"/>
        <v>22</v>
      </c>
      <c r="Z100" s="135">
        <f t="shared" si="14"/>
        <v>57.5</v>
      </c>
      <c r="AA100" s="137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ht="18.75" customHeight="1">
      <c r="A101" s="139">
        <v>147.0</v>
      </c>
      <c r="B101" s="140" t="s">
        <v>169</v>
      </c>
      <c r="C101" s="141">
        <v>3.0</v>
      </c>
      <c r="D101" s="141">
        <v>5.0</v>
      </c>
      <c r="E101" s="141">
        <v>2.0</v>
      </c>
      <c r="F101" s="142">
        <f t="shared" si="5"/>
        <v>10</v>
      </c>
      <c r="G101" s="143">
        <f t="shared" si="6"/>
        <v>33.33333333</v>
      </c>
      <c r="H101" s="141">
        <v>9.0</v>
      </c>
      <c r="I101" s="141">
        <v>9.0</v>
      </c>
      <c r="J101" s="141">
        <v>6.0</v>
      </c>
      <c r="K101" s="142">
        <v>28.0</v>
      </c>
      <c r="L101" s="143">
        <f t="shared" si="8"/>
        <v>93.33333333</v>
      </c>
      <c r="M101" s="144">
        <v>6.0</v>
      </c>
      <c r="N101" s="144">
        <v>7.0</v>
      </c>
      <c r="O101" s="144">
        <v>7.0</v>
      </c>
      <c r="P101" s="144">
        <v>3.0</v>
      </c>
      <c r="Q101" s="144">
        <v>8.0</v>
      </c>
      <c r="R101" s="144">
        <v>7.0</v>
      </c>
      <c r="S101" s="145">
        <v>38.0</v>
      </c>
      <c r="T101" s="133">
        <v>10.0</v>
      </c>
      <c r="U101" s="135">
        <f t="shared" si="9"/>
        <v>62</v>
      </c>
      <c r="V101" s="135">
        <f t="shared" si="10"/>
        <v>65</v>
      </c>
      <c r="W101" s="135">
        <f t="shared" si="11"/>
        <v>59</v>
      </c>
      <c r="X101" s="135">
        <f t="shared" si="12"/>
        <v>56</v>
      </c>
      <c r="Y101" s="135">
        <f t="shared" si="13"/>
        <v>98</v>
      </c>
      <c r="Z101" s="135">
        <f t="shared" si="14"/>
        <v>84.5</v>
      </c>
      <c r="AA101" s="137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ht="20.25" customHeight="1">
      <c r="A102" s="139">
        <v>148.0</v>
      </c>
      <c r="B102" s="140" t="s">
        <v>170</v>
      </c>
      <c r="C102" s="141">
        <v>8.0</v>
      </c>
      <c r="D102" s="141">
        <v>2.0</v>
      </c>
      <c r="E102" s="155"/>
      <c r="F102" s="142">
        <f t="shared" si="5"/>
        <v>10</v>
      </c>
      <c r="G102" s="143">
        <f t="shared" si="6"/>
        <v>33.33333333</v>
      </c>
      <c r="H102" s="141">
        <v>3.0</v>
      </c>
      <c r="I102" s="141">
        <v>5.0</v>
      </c>
      <c r="J102" s="141">
        <v>2.0</v>
      </c>
      <c r="K102" s="142">
        <f>SUM(H102:J102)</f>
        <v>10</v>
      </c>
      <c r="L102" s="143">
        <f t="shared" si="8"/>
        <v>33.33333333</v>
      </c>
      <c r="M102" s="144">
        <v>0.0</v>
      </c>
      <c r="N102" s="144">
        <v>2.0</v>
      </c>
      <c r="O102" s="144">
        <v>9.0</v>
      </c>
      <c r="P102" s="144">
        <v>0.0</v>
      </c>
      <c r="Q102" s="144">
        <v>0.0</v>
      </c>
      <c r="R102" s="144">
        <v>4.0</v>
      </c>
      <c r="S102" s="145">
        <v>15.0</v>
      </c>
      <c r="T102" s="133">
        <v>10.0</v>
      </c>
      <c r="U102" s="135">
        <f t="shared" si="9"/>
        <v>36</v>
      </c>
      <c r="V102" s="135">
        <f t="shared" si="10"/>
        <v>34</v>
      </c>
      <c r="W102" s="135">
        <f t="shared" si="11"/>
        <v>65</v>
      </c>
      <c r="X102" s="135">
        <f t="shared" si="12"/>
        <v>26</v>
      </c>
      <c r="Y102" s="135">
        <f t="shared" si="13"/>
        <v>30</v>
      </c>
      <c r="Z102" s="135">
        <f t="shared" si="14"/>
        <v>54</v>
      </c>
      <c r="AA102" s="137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ht="20.25" customHeight="1">
      <c r="A103" s="139">
        <v>151.0</v>
      </c>
      <c r="B103" s="140" t="s">
        <v>171</v>
      </c>
      <c r="C103" s="141">
        <v>10.0</v>
      </c>
      <c r="D103" s="155"/>
      <c r="E103" s="155"/>
      <c r="F103" s="142">
        <f t="shared" si="5"/>
        <v>10</v>
      </c>
      <c r="G103" s="143">
        <f t="shared" si="6"/>
        <v>33.33333333</v>
      </c>
      <c r="H103" s="141">
        <v>3.0</v>
      </c>
      <c r="I103" s="155"/>
      <c r="J103" s="141">
        <v>4.0</v>
      </c>
      <c r="K103" s="142">
        <v>28.0</v>
      </c>
      <c r="L103" s="143">
        <f t="shared" si="8"/>
        <v>93.33333333</v>
      </c>
      <c r="M103" s="144">
        <v>0.0</v>
      </c>
      <c r="N103" s="144">
        <v>5.0</v>
      </c>
      <c r="O103" s="144">
        <v>3.0</v>
      </c>
      <c r="P103" s="144">
        <v>0.0</v>
      </c>
      <c r="Q103" s="144">
        <v>0.0</v>
      </c>
      <c r="R103" s="144">
        <v>3.0</v>
      </c>
      <c r="S103" s="145">
        <v>11.0</v>
      </c>
      <c r="T103" s="133">
        <v>10.0</v>
      </c>
      <c r="U103" s="135">
        <f t="shared" si="9"/>
        <v>40</v>
      </c>
      <c r="V103" s="135">
        <f t="shared" si="10"/>
        <v>45</v>
      </c>
      <c r="W103" s="135">
        <f t="shared" si="11"/>
        <v>35</v>
      </c>
      <c r="X103" s="135">
        <f t="shared" si="12"/>
        <v>26</v>
      </c>
      <c r="Y103" s="135">
        <f t="shared" si="13"/>
        <v>20</v>
      </c>
      <c r="Z103" s="135">
        <f t="shared" si="14"/>
        <v>50.5</v>
      </c>
      <c r="AA103" s="137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19.5" customHeight="1">
      <c r="A104" s="139">
        <v>152.0</v>
      </c>
      <c r="B104" s="140" t="s">
        <v>172</v>
      </c>
      <c r="C104" s="141">
        <v>4.0</v>
      </c>
      <c r="D104" s="141">
        <v>3.0</v>
      </c>
      <c r="E104" s="141">
        <v>10.0</v>
      </c>
      <c r="F104" s="142">
        <f t="shared" si="5"/>
        <v>17</v>
      </c>
      <c r="G104" s="143">
        <f t="shared" si="6"/>
        <v>56.66666667</v>
      </c>
      <c r="H104" s="141">
        <v>3.0</v>
      </c>
      <c r="I104" s="155"/>
      <c r="J104" s="155"/>
      <c r="K104" s="142">
        <v>29.0</v>
      </c>
      <c r="L104" s="143">
        <f t="shared" si="8"/>
        <v>96.66666667</v>
      </c>
      <c r="M104" s="144">
        <v>4.0</v>
      </c>
      <c r="N104" s="144">
        <v>3.0</v>
      </c>
      <c r="O104" s="144">
        <v>11.0</v>
      </c>
      <c r="P104" s="144">
        <v>2.0</v>
      </c>
      <c r="Q104" s="144">
        <v>2.0</v>
      </c>
      <c r="R104" s="144">
        <v>2.0</v>
      </c>
      <c r="S104" s="145">
        <v>24.0</v>
      </c>
      <c r="T104" s="133">
        <v>10.0</v>
      </c>
      <c r="U104" s="135">
        <f t="shared" si="9"/>
        <v>52</v>
      </c>
      <c r="V104" s="135">
        <f t="shared" si="10"/>
        <v>41</v>
      </c>
      <c r="W104" s="135">
        <f t="shared" si="11"/>
        <v>95</v>
      </c>
      <c r="X104" s="135">
        <f t="shared" si="12"/>
        <v>38</v>
      </c>
      <c r="Y104" s="135">
        <f t="shared" si="13"/>
        <v>35</v>
      </c>
      <c r="Z104" s="135">
        <f t="shared" si="14"/>
        <v>35</v>
      </c>
      <c r="AA104" s="137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ht="18.75" customHeight="1">
      <c r="A105" s="139">
        <v>153.0</v>
      </c>
      <c r="B105" s="140" t="s">
        <v>173</v>
      </c>
      <c r="C105" s="141">
        <v>10.0</v>
      </c>
      <c r="D105" s="141">
        <v>10.0</v>
      </c>
      <c r="E105" s="141">
        <v>2.0</v>
      </c>
      <c r="F105" s="142">
        <f t="shared" si="5"/>
        <v>22</v>
      </c>
      <c r="G105" s="143">
        <f t="shared" si="6"/>
        <v>73.33333333</v>
      </c>
      <c r="H105" s="141">
        <v>1.0</v>
      </c>
      <c r="I105" s="141">
        <v>6.0</v>
      </c>
      <c r="J105" s="141">
        <v>7.0</v>
      </c>
      <c r="K105" s="142">
        <f t="shared" ref="K105:K109" si="15">SUM(H105:J105)</f>
        <v>14</v>
      </c>
      <c r="L105" s="143">
        <f t="shared" si="8"/>
        <v>46.66666667</v>
      </c>
      <c r="M105" s="144">
        <v>4.0</v>
      </c>
      <c r="N105" s="144">
        <v>7.0</v>
      </c>
      <c r="O105" s="144">
        <v>0.0</v>
      </c>
      <c r="P105" s="144">
        <v>3.0</v>
      </c>
      <c r="Q105" s="144">
        <v>6.0</v>
      </c>
      <c r="R105" s="144">
        <v>3.0</v>
      </c>
      <c r="S105" s="145">
        <v>23.0</v>
      </c>
      <c r="T105" s="133">
        <v>10.0</v>
      </c>
      <c r="U105" s="135">
        <f t="shared" si="9"/>
        <v>64</v>
      </c>
      <c r="V105" s="135">
        <f t="shared" si="10"/>
        <v>75</v>
      </c>
      <c r="W105" s="135">
        <f t="shared" si="11"/>
        <v>24</v>
      </c>
      <c r="X105" s="135">
        <f t="shared" si="12"/>
        <v>40</v>
      </c>
      <c r="Y105" s="135">
        <f t="shared" si="13"/>
        <v>77</v>
      </c>
      <c r="Z105" s="135">
        <f t="shared" si="14"/>
        <v>56.5</v>
      </c>
      <c r="AA105" s="137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ht="18.75" customHeight="1">
      <c r="A106" s="139">
        <v>154.0</v>
      </c>
      <c r="B106" s="140" t="s">
        <v>174</v>
      </c>
      <c r="C106" s="141">
        <v>8.0</v>
      </c>
      <c r="D106" s="141">
        <v>6.0</v>
      </c>
      <c r="E106" s="155"/>
      <c r="F106" s="142">
        <f t="shared" si="5"/>
        <v>14</v>
      </c>
      <c r="G106" s="143">
        <f t="shared" si="6"/>
        <v>46.66666667</v>
      </c>
      <c r="H106" s="155"/>
      <c r="I106" s="155"/>
      <c r="J106" s="155"/>
      <c r="K106" s="142">
        <f t="shared" si="15"/>
        <v>0</v>
      </c>
      <c r="L106" s="143">
        <f t="shared" si="8"/>
        <v>0</v>
      </c>
      <c r="M106" s="144">
        <v>6.0</v>
      </c>
      <c r="N106" s="144">
        <v>3.0</v>
      </c>
      <c r="O106" s="144">
        <v>9.0</v>
      </c>
      <c r="P106" s="144">
        <v>2.0</v>
      </c>
      <c r="Q106" s="144">
        <v>0.0</v>
      </c>
      <c r="R106" s="144">
        <v>6.0</v>
      </c>
      <c r="S106" s="145">
        <v>26.0</v>
      </c>
      <c r="T106" s="133">
        <v>10.0</v>
      </c>
      <c r="U106" s="135">
        <f t="shared" si="9"/>
        <v>72</v>
      </c>
      <c r="V106" s="135">
        <f t="shared" si="10"/>
        <v>47</v>
      </c>
      <c r="W106" s="135">
        <f t="shared" si="11"/>
        <v>65</v>
      </c>
      <c r="X106" s="135">
        <f t="shared" si="12"/>
        <v>32</v>
      </c>
      <c r="Y106" s="135">
        <f t="shared" si="13"/>
        <v>20</v>
      </c>
      <c r="Z106" s="135">
        <f t="shared" si="14"/>
        <v>65</v>
      </c>
      <c r="AA106" s="137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ht="18.75" customHeight="1">
      <c r="A107" s="139">
        <v>157.0</v>
      </c>
      <c r="B107" s="140" t="s">
        <v>175</v>
      </c>
      <c r="C107" s="141">
        <v>10.0</v>
      </c>
      <c r="D107" s="141">
        <v>10.0</v>
      </c>
      <c r="E107" s="141">
        <v>9.0</v>
      </c>
      <c r="F107" s="142">
        <f t="shared" si="5"/>
        <v>29</v>
      </c>
      <c r="G107" s="143">
        <f t="shared" si="6"/>
        <v>96.66666667</v>
      </c>
      <c r="H107" s="141">
        <v>10.0</v>
      </c>
      <c r="I107" s="141">
        <v>9.0</v>
      </c>
      <c r="J107" s="141">
        <v>10.0</v>
      </c>
      <c r="K107" s="142">
        <f t="shared" si="15"/>
        <v>29</v>
      </c>
      <c r="L107" s="143">
        <f t="shared" si="8"/>
        <v>96.66666667</v>
      </c>
      <c r="M107" s="144">
        <v>9.0</v>
      </c>
      <c r="N107" s="144">
        <v>7.0</v>
      </c>
      <c r="O107" s="144">
        <v>10.0</v>
      </c>
      <c r="P107" s="144">
        <v>4.0</v>
      </c>
      <c r="Q107" s="144">
        <v>8.0</v>
      </c>
      <c r="R107" s="144">
        <v>3.0</v>
      </c>
      <c r="S107" s="145">
        <v>41.0</v>
      </c>
      <c r="T107" s="133">
        <v>10.0</v>
      </c>
      <c r="U107" s="135">
        <f t="shared" si="9"/>
        <v>94</v>
      </c>
      <c r="V107" s="135">
        <f t="shared" si="10"/>
        <v>75</v>
      </c>
      <c r="W107" s="135">
        <f t="shared" si="11"/>
        <v>88</v>
      </c>
      <c r="X107" s="135">
        <f t="shared" si="12"/>
        <v>64</v>
      </c>
      <c r="Y107" s="135">
        <f t="shared" si="13"/>
        <v>98</v>
      </c>
      <c r="Z107" s="135">
        <f t="shared" si="14"/>
        <v>62.5</v>
      </c>
      <c r="AA107" s="137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ht="15.75" customHeight="1">
      <c r="A108" s="139">
        <v>158.0</v>
      </c>
      <c r="B108" s="140" t="s">
        <v>176</v>
      </c>
      <c r="C108" s="141">
        <v>8.0</v>
      </c>
      <c r="D108" s="155"/>
      <c r="E108" s="141">
        <v>7.0</v>
      </c>
      <c r="F108" s="142">
        <f t="shared" si="5"/>
        <v>15</v>
      </c>
      <c r="G108" s="143">
        <f t="shared" si="6"/>
        <v>50</v>
      </c>
      <c r="H108" s="141">
        <v>8.0</v>
      </c>
      <c r="I108" s="141">
        <v>10.0</v>
      </c>
      <c r="J108" s="141">
        <v>5.0</v>
      </c>
      <c r="K108" s="142">
        <f t="shared" si="15"/>
        <v>23</v>
      </c>
      <c r="L108" s="143">
        <f t="shared" si="8"/>
        <v>76.66666667</v>
      </c>
      <c r="M108" s="144">
        <v>9.0</v>
      </c>
      <c r="N108" s="144">
        <v>8.0</v>
      </c>
      <c r="O108" s="144">
        <v>12.0</v>
      </c>
      <c r="P108" s="144">
        <v>4.0</v>
      </c>
      <c r="Q108" s="144">
        <v>8.0</v>
      </c>
      <c r="R108" s="144">
        <v>3.0</v>
      </c>
      <c r="S108" s="145">
        <v>44.0</v>
      </c>
      <c r="T108" s="133">
        <v>10.0</v>
      </c>
      <c r="U108" s="135">
        <f t="shared" si="9"/>
        <v>90</v>
      </c>
      <c r="V108" s="135">
        <f t="shared" si="10"/>
        <v>60</v>
      </c>
      <c r="W108" s="135">
        <f t="shared" si="11"/>
        <v>94</v>
      </c>
      <c r="X108" s="135">
        <f t="shared" si="12"/>
        <v>60</v>
      </c>
      <c r="Y108" s="135">
        <f t="shared" si="13"/>
        <v>100</v>
      </c>
      <c r="Z108" s="135">
        <f t="shared" si="14"/>
        <v>52.5</v>
      </c>
      <c r="AA108" s="137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ht="18.75" customHeight="1">
      <c r="A109" s="139">
        <v>160.0</v>
      </c>
      <c r="B109" s="140" t="s">
        <v>177</v>
      </c>
      <c r="C109" s="141">
        <v>5.0</v>
      </c>
      <c r="D109" s="141">
        <v>2.0</v>
      </c>
      <c r="E109" s="141">
        <v>2.0</v>
      </c>
      <c r="F109" s="142">
        <f t="shared" si="5"/>
        <v>9</v>
      </c>
      <c r="G109" s="143">
        <f t="shared" si="6"/>
        <v>30</v>
      </c>
      <c r="H109" s="141">
        <v>10.0</v>
      </c>
      <c r="I109" s="141">
        <v>4.0</v>
      </c>
      <c r="J109" s="141">
        <v>5.0</v>
      </c>
      <c r="K109" s="142">
        <f t="shared" si="15"/>
        <v>19</v>
      </c>
      <c r="L109" s="143">
        <f t="shared" si="8"/>
        <v>63.33333333</v>
      </c>
      <c r="M109" s="144">
        <v>5.0</v>
      </c>
      <c r="N109" s="144">
        <v>6.0</v>
      </c>
      <c r="O109" s="144">
        <v>6.0</v>
      </c>
      <c r="P109" s="144">
        <v>1.0</v>
      </c>
      <c r="Q109" s="144">
        <v>2.0</v>
      </c>
      <c r="R109" s="144">
        <v>4.0</v>
      </c>
      <c r="S109" s="145">
        <v>24.0</v>
      </c>
      <c r="T109" s="133">
        <v>10.0</v>
      </c>
      <c r="U109" s="135">
        <f t="shared" si="9"/>
        <v>60</v>
      </c>
      <c r="V109" s="135">
        <f t="shared" si="10"/>
        <v>54</v>
      </c>
      <c r="W109" s="135">
        <f t="shared" si="11"/>
        <v>54</v>
      </c>
      <c r="X109" s="135">
        <f t="shared" si="12"/>
        <v>46</v>
      </c>
      <c r="Y109" s="135">
        <f t="shared" si="13"/>
        <v>43</v>
      </c>
      <c r="Z109" s="135">
        <f t="shared" si="14"/>
        <v>60</v>
      </c>
      <c r="AA109" s="137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ht="18.75" customHeight="1">
      <c r="A110" s="2"/>
      <c r="S110" s="40"/>
      <c r="AA110" s="40"/>
      <c r="AB110" s="138"/>
      <c r="AC110" s="138"/>
      <c r="AD110" s="138"/>
      <c r="AE110" s="138"/>
      <c r="AF110" s="138"/>
      <c r="AG110" s="168"/>
      <c r="AH110" s="168"/>
      <c r="AI110" s="168"/>
      <c r="AJ110" s="168"/>
      <c r="AK110" s="168"/>
      <c r="AL110" s="168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ht="36.75" customHeight="1">
      <c r="A111" s="2"/>
      <c r="B111" s="152"/>
      <c r="C111" s="171" t="str">
        <f t="shared" ref="C111:E111" si="16">C27</f>
        <v>CO1</v>
      </c>
      <c r="D111" s="171" t="str">
        <f t="shared" si="16"/>
        <v>CO2</v>
      </c>
      <c r="E111" s="171" t="str">
        <f t="shared" si="16"/>
        <v>CO3</v>
      </c>
      <c r="F111" s="172"/>
      <c r="G111" s="172"/>
      <c r="H111" s="171" t="str">
        <f t="shared" ref="H111:J111" si="17">H27</f>
        <v>CO4</v>
      </c>
      <c r="I111" s="171" t="str">
        <f t="shared" si="17"/>
        <v>CO5</v>
      </c>
      <c r="J111" s="171" t="str">
        <f t="shared" si="17"/>
        <v>CO6</v>
      </c>
      <c r="K111" s="49"/>
      <c r="L111" s="172"/>
      <c r="M111" s="171" t="str">
        <f t="shared" ref="M111:R111" si="18">M27</f>
        <v>CO1</v>
      </c>
      <c r="N111" s="171" t="str">
        <f t="shared" si="18"/>
        <v>CO2</v>
      </c>
      <c r="O111" s="171" t="str">
        <f t="shared" si="18"/>
        <v>CO3</v>
      </c>
      <c r="P111" s="171" t="str">
        <f t="shared" si="18"/>
        <v>CO4</v>
      </c>
      <c r="Q111" s="171" t="str">
        <f t="shared" si="18"/>
        <v>CO5</v>
      </c>
      <c r="R111" s="174" t="str">
        <f t="shared" si="18"/>
        <v>CO6</v>
      </c>
      <c r="S111" s="37">
        <f>COUNTIF($S$29:$S$109,"&gt;=4.5")</f>
        <v>80</v>
      </c>
      <c r="T111" s="173" t="s">
        <v>139</v>
      </c>
      <c r="U111" s="174" t="s">
        <v>8</v>
      </c>
      <c r="V111" s="174" t="s">
        <v>9</v>
      </c>
      <c r="W111" s="174" t="s">
        <v>11</v>
      </c>
      <c r="X111" s="174" t="s">
        <v>12</v>
      </c>
      <c r="Y111" s="174" t="s">
        <v>13</v>
      </c>
      <c r="Z111" s="174" t="s">
        <v>14</v>
      </c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ht="36.75" customHeight="1">
      <c r="A112" s="2"/>
      <c r="B112" s="175" t="s">
        <v>140</v>
      </c>
      <c r="C112" s="37">
        <f t="shared" ref="C112:E112" si="19">COUNT($A$29:$A$109)</f>
        <v>81</v>
      </c>
      <c r="D112" s="37">
        <f t="shared" si="19"/>
        <v>81</v>
      </c>
      <c r="E112" s="37">
        <f t="shared" si="19"/>
        <v>81</v>
      </c>
      <c r="F112" s="49"/>
      <c r="G112" s="49"/>
      <c r="H112" s="37">
        <f t="shared" ref="H112:J112" si="20">COUNT($A$29:$A$109)</f>
        <v>81</v>
      </c>
      <c r="I112" s="37">
        <f t="shared" si="20"/>
        <v>81</v>
      </c>
      <c r="J112" s="37">
        <f t="shared" si="20"/>
        <v>81</v>
      </c>
      <c r="K112" s="49"/>
      <c r="L112" s="49"/>
      <c r="M112" s="37">
        <f t="shared" ref="M112:R112" si="21">COUNT($A$29:$A$109)</f>
        <v>81</v>
      </c>
      <c r="N112" s="37">
        <f t="shared" si="21"/>
        <v>81</v>
      </c>
      <c r="O112" s="37">
        <f t="shared" si="21"/>
        <v>81</v>
      </c>
      <c r="P112" s="37">
        <f t="shared" si="21"/>
        <v>81</v>
      </c>
      <c r="Q112" s="37">
        <f t="shared" si="21"/>
        <v>81</v>
      </c>
      <c r="R112" s="37">
        <f t="shared" si="21"/>
        <v>81</v>
      </c>
      <c r="S112" s="176" t="s">
        <v>142</v>
      </c>
      <c r="T112" s="37">
        <f t="shared" ref="T112:Z112" si="22">COUNT($A$29:$A$109)</f>
        <v>81</v>
      </c>
      <c r="U112" s="37">
        <f t="shared" si="22"/>
        <v>81</v>
      </c>
      <c r="V112" s="37">
        <f t="shared" si="22"/>
        <v>81</v>
      </c>
      <c r="W112" s="37">
        <f t="shared" si="22"/>
        <v>81</v>
      </c>
      <c r="X112" s="37">
        <f t="shared" si="22"/>
        <v>81</v>
      </c>
      <c r="Y112" s="37">
        <f t="shared" si="22"/>
        <v>81</v>
      </c>
      <c r="Z112" s="37">
        <f t="shared" si="22"/>
        <v>81</v>
      </c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ht="35.25" customHeight="1">
      <c r="A113" s="2"/>
      <c r="B113" s="175" t="s">
        <v>144</v>
      </c>
      <c r="C113" s="37">
        <f t="shared" ref="C113:E113" si="23">COUNTIF(C29:C109,"&gt;="&amp;(C$28*$AG$16/100))</f>
        <v>64</v>
      </c>
      <c r="D113" s="37">
        <f t="shared" si="23"/>
        <v>54</v>
      </c>
      <c r="E113" s="37">
        <f t="shared" si="23"/>
        <v>49</v>
      </c>
      <c r="F113" s="49"/>
      <c r="G113" s="49"/>
      <c r="H113" s="37">
        <f t="shared" ref="H113:J113" si="24">COUNTIF(H29:H109,"&gt;="&amp;(H$28*$AG$16/100))</f>
        <v>66</v>
      </c>
      <c r="I113" s="37">
        <f t="shared" si="24"/>
        <v>57</v>
      </c>
      <c r="J113" s="37">
        <f t="shared" si="24"/>
        <v>49</v>
      </c>
      <c r="K113" s="49"/>
      <c r="L113" s="49"/>
      <c r="M113" s="37">
        <f t="shared" ref="M113:R113" si="25">COUNTIF(M29:M109,"&gt;="&amp;(M$28*$AG$16/100))</f>
        <v>51</v>
      </c>
      <c r="N113" s="37">
        <f t="shared" si="25"/>
        <v>58</v>
      </c>
      <c r="O113" s="37">
        <f t="shared" si="25"/>
        <v>55</v>
      </c>
      <c r="P113" s="37">
        <f t="shared" si="25"/>
        <v>9</v>
      </c>
      <c r="Q113" s="37">
        <f t="shared" si="25"/>
        <v>44</v>
      </c>
      <c r="R113" s="37">
        <f t="shared" si="25"/>
        <v>44</v>
      </c>
      <c r="S113" s="177" t="s">
        <v>147</v>
      </c>
      <c r="T113" s="37">
        <f>COUNTIF(T29:T109,"&gt;="&amp;$T$28*$AG$16/100)</f>
        <v>81</v>
      </c>
      <c r="U113" s="37">
        <f t="shared" ref="U113:Z113" si="26">COUNTIF(U29:U109,"&gt;="&amp;$AG$16)</f>
        <v>72</v>
      </c>
      <c r="V113" s="37">
        <f t="shared" si="26"/>
        <v>70</v>
      </c>
      <c r="W113" s="37">
        <f t="shared" si="26"/>
        <v>69</v>
      </c>
      <c r="X113" s="37">
        <f t="shared" si="26"/>
        <v>45</v>
      </c>
      <c r="Y113" s="37">
        <f t="shared" si="26"/>
        <v>58</v>
      </c>
      <c r="Z113" s="37">
        <f t="shared" si="26"/>
        <v>59</v>
      </c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ht="30.75" customHeight="1">
      <c r="A114" s="2"/>
      <c r="B114" s="175" t="s">
        <v>149</v>
      </c>
      <c r="C114" s="178">
        <f t="shared" ref="C114:E114" si="27">C113*100/C112</f>
        <v>79.01234568</v>
      </c>
      <c r="D114" s="178">
        <f t="shared" si="27"/>
        <v>66.66666667</v>
      </c>
      <c r="E114" s="178">
        <f t="shared" si="27"/>
        <v>60.49382716</v>
      </c>
      <c r="F114" s="49"/>
      <c r="G114" s="49"/>
      <c r="H114" s="178">
        <f t="shared" ref="H114:J114" si="28">H113*100/H112</f>
        <v>81.48148148</v>
      </c>
      <c r="I114" s="178">
        <f t="shared" si="28"/>
        <v>70.37037037</v>
      </c>
      <c r="J114" s="178">
        <f t="shared" si="28"/>
        <v>60.49382716</v>
      </c>
      <c r="K114" s="49"/>
      <c r="L114" s="49"/>
      <c r="M114" s="178">
        <f t="shared" ref="M114:R114" si="29">M113*100/M112</f>
        <v>62.96296296</v>
      </c>
      <c r="N114" s="178">
        <f t="shared" si="29"/>
        <v>71.60493827</v>
      </c>
      <c r="O114" s="178">
        <f t="shared" si="29"/>
        <v>67.90123457</v>
      </c>
      <c r="P114" s="178">
        <f t="shared" si="29"/>
        <v>11.11111111</v>
      </c>
      <c r="Q114" s="178">
        <f t="shared" si="29"/>
        <v>54.32098765</v>
      </c>
      <c r="R114" s="178">
        <f t="shared" si="29"/>
        <v>54.32098765</v>
      </c>
      <c r="S114" s="37" t="s">
        <v>149</v>
      </c>
      <c r="T114" s="178">
        <f t="shared" ref="T114:Z114" si="30">T113*100/T112</f>
        <v>100</v>
      </c>
      <c r="U114" s="178">
        <f t="shared" si="30"/>
        <v>88.88888889</v>
      </c>
      <c r="V114" s="178">
        <f t="shared" si="30"/>
        <v>86.41975309</v>
      </c>
      <c r="W114" s="178">
        <f t="shared" si="30"/>
        <v>85.18518519</v>
      </c>
      <c r="X114" s="178">
        <f t="shared" si="30"/>
        <v>55.55555556</v>
      </c>
      <c r="Y114" s="178">
        <f t="shared" si="30"/>
        <v>71.60493827</v>
      </c>
      <c r="Z114" s="178">
        <f t="shared" si="30"/>
        <v>72.83950617</v>
      </c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ht="24.0" customHeight="1">
      <c r="A115" s="2"/>
      <c r="B115" s="180" t="s">
        <v>152</v>
      </c>
      <c r="C115" s="37">
        <f t="shared" ref="C115:E115" si="31">IF(C114&gt;=$AE$19,3,IF(C114&gt;=$AE$20,2,1))</f>
        <v>3</v>
      </c>
      <c r="D115" s="37">
        <f t="shared" si="31"/>
        <v>3</v>
      </c>
      <c r="E115" s="37">
        <f t="shared" si="31"/>
        <v>3</v>
      </c>
      <c r="F115" s="38"/>
      <c r="G115" s="38"/>
      <c r="H115" s="37">
        <f t="shared" ref="H115:J115" si="32">IF(H114&gt;=$AE$19,3,IF(H114&gt;=$AE$20,2,1))</f>
        <v>3</v>
      </c>
      <c r="I115" s="37">
        <f t="shared" si="32"/>
        <v>3</v>
      </c>
      <c r="J115" s="37">
        <f t="shared" si="32"/>
        <v>3</v>
      </c>
      <c r="K115" s="38"/>
      <c r="L115" s="38"/>
      <c r="M115" s="37">
        <f t="shared" ref="M115:R115" si="33">IF(M114&gt;=$AE$19,3,IF(M114&gt;=$AE$20,2,1))</f>
        <v>3</v>
      </c>
      <c r="N115" s="37">
        <f t="shared" si="33"/>
        <v>3</v>
      </c>
      <c r="O115" s="37">
        <f t="shared" si="33"/>
        <v>3</v>
      </c>
      <c r="P115" s="37">
        <f t="shared" si="33"/>
        <v>1</v>
      </c>
      <c r="Q115" s="37">
        <f t="shared" si="33"/>
        <v>2</v>
      </c>
      <c r="R115" s="37">
        <f t="shared" si="33"/>
        <v>2</v>
      </c>
      <c r="S115" s="177" t="s">
        <v>36</v>
      </c>
      <c r="T115" s="37">
        <f t="shared" ref="T115:Z115" si="34">IF(T114&gt;=$AE$19,3,IF(T114&gt;=$AE$20,2,1))</f>
        <v>3</v>
      </c>
      <c r="U115" s="181">
        <f t="shared" si="34"/>
        <v>3</v>
      </c>
      <c r="V115" s="181">
        <f t="shared" si="34"/>
        <v>3</v>
      </c>
      <c r="W115" s="181">
        <f t="shared" si="34"/>
        <v>3</v>
      </c>
      <c r="X115" s="181">
        <f t="shared" si="34"/>
        <v>3</v>
      </c>
      <c r="Y115" s="181">
        <f t="shared" si="34"/>
        <v>3</v>
      </c>
      <c r="Z115" s="181">
        <f t="shared" si="34"/>
        <v>3</v>
      </c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ht="15.75" customHeight="1">
      <c r="A116" s="2"/>
      <c r="B116" s="2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2"/>
      <c r="N116" s="2"/>
      <c r="O116" s="2"/>
      <c r="P116" s="2"/>
      <c r="Q116" s="2"/>
      <c r="R116" s="2"/>
      <c r="S116" s="4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ht="15.75" customHeight="1">
      <c r="A117" s="2"/>
      <c r="B117" s="2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2"/>
      <c r="N117" s="2"/>
      <c r="O117" s="2"/>
      <c r="P117" s="2"/>
      <c r="Q117" s="2"/>
      <c r="R117" s="2"/>
      <c r="S117" s="4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ht="15.75" customHeight="1">
      <c r="A118" s="2"/>
      <c r="B118" s="2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2"/>
      <c r="N118" s="2"/>
      <c r="O118" s="2"/>
      <c r="P118" s="2"/>
      <c r="Q118" s="2"/>
      <c r="R118" s="2"/>
      <c r="S118" s="4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ht="14.25" customHeight="1">
      <c r="A119" s="2"/>
      <c r="B119" s="2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2"/>
      <c r="N119" s="2"/>
      <c r="O119" s="2"/>
      <c r="P119" s="2"/>
      <c r="Q119" s="2"/>
      <c r="R119" s="2"/>
      <c r="S119" s="4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ht="40.5" customHeight="1">
      <c r="A120" s="2"/>
      <c r="B120" s="2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2"/>
      <c r="N120" s="2"/>
      <c r="O120" s="2"/>
      <c r="P120" s="2"/>
      <c r="Q120" s="2"/>
      <c r="R120" s="2"/>
      <c r="S120" s="4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ht="14.25" customHeight="1">
      <c r="A121" s="2"/>
      <c r="B121" s="2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2"/>
      <c r="N121" s="2"/>
      <c r="O121" s="2"/>
      <c r="P121" s="2"/>
      <c r="Q121" s="2"/>
      <c r="R121" s="2"/>
      <c r="S121" s="4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ht="14.25" customHeight="1">
      <c r="A122" s="2"/>
      <c r="B122" s="2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2"/>
      <c r="N122" s="2"/>
      <c r="O122" s="2"/>
      <c r="P122" s="2"/>
      <c r="Q122" s="2"/>
      <c r="R122" s="2"/>
      <c r="S122" s="4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ht="14.25" customHeight="1">
      <c r="A123" s="2"/>
      <c r="B123" s="2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2"/>
      <c r="N123" s="2"/>
      <c r="O123" s="2"/>
      <c r="P123" s="2"/>
      <c r="Q123" s="2"/>
      <c r="R123" s="2"/>
      <c r="S123" s="4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ht="14.25" customHeight="1">
      <c r="A124" s="2"/>
      <c r="B124" s="2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2"/>
      <c r="N124" s="2"/>
      <c r="O124" s="2"/>
      <c r="P124" s="2"/>
      <c r="Q124" s="2"/>
      <c r="R124" s="2"/>
      <c r="S124" s="4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ht="14.25" customHeight="1">
      <c r="A125" s="2"/>
      <c r="B125" s="2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2"/>
      <c r="N125" s="2"/>
      <c r="O125" s="2"/>
      <c r="P125" s="2"/>
      <c r="Q125" s="2"/>
      <c r="R125" s="2"/>
      <c r="S125" s="4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ht="14.25" customHeight="1">
      <c r="A126" s="2"/>
      <c r="B126" s="2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2"/>
      <c r="N126" s="2"/>
      <c r="O126" s="2"/>
      <c r="P126" s="2"/>
      <c r="Q126" s="2"/>
      <c r="R126" s="2"/>
      <c r="S126" s="4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ht="14.25" customHeight="1">
      <c r="A127" s="2"/>
      <c r="B127" s="2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2"/>
      <c r="N127" s="2"/>
      <c r="O127" s="2"/>
      <c r="P127" s="2"/>
      <c r="Q127" s="2"/>
      <c r="R127" s="2"/>
      <c r="S127" s="4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ht="14.25" customHeight="1">
      <c r="A128" s="2"/>
      <c r="B128" s="2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2"/>
      <c r="N128" s="2"/>
      <c r="O128" s="2"/>
      <c r="P128" s="2"/>
      <c r="Q128" s="2"/>
      <c r="R128" s="2"/>
      <c r="S128" s="4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ht="14.25" customHeight="1">
      <c r="A129" s="2"/>
      <c r="B129" s="2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2"/>
      <c r="N129" s="2"/>
      <c r="O129" s="2"/>
      <c r="P129" s="2"/>
      <c r="Q129" s="2"/>
      <c r="R129" s="2"/>
      <c r="S129" s="4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ht="14.25" customHeight="1">
      <c r="A130" s="2"/>
      <c r="B130" s="2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2"/>
      <c r="N130" s="2"/>
      <c r="O130" s="2"/>
      <c r="P130" s="2"/>
      <c r="Q130" s="2"/>
      <c r="R130" s="2"/>
      <c r="S130" s="4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ht="14.25" customHeight="1">
      <c r="A131" s="2"/>
      <c r="B131" s="2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2"/>
      <c r="N131" s="2"/>
      <c r="O131" s="2"/>
      <c r="P131" s="2"/>
      <c r="Q131" s="2"/>
      <c r="R131" s="2"/>
      <c r="S131" s="4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ht="14.25" customHeight="1">
      <c r="A132" s="2"/>
      <c r="B132" s="2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2"/>
      <c r="N132" s="2"/>
      <c r="O132" s="2"/>
      <c r="P132" s="2"/>
      <c r="Q132" s="2"/>
      <c r="R132" s="2"/>
      <c r="S132" s="4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ht="14.25" customHeight="1">
      <c r="A133" s="2"/>
      <c r="B133" s="2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2"/>
      <c r="N133" s="2"/>
      <c r="O133" s="2"/>
      <c r="P133" s="2"/>
      <c r="Q133" s="2"/>
      <c r="R133" s="2"/>
      <c r="S133" s="4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ht="14.25" customHeight="1">
      <c r="A134" s="2"/>
      <c r="B134" s="2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2"/>
      <c r="N134" s="2"/>
      <c r="O134" s="2"/>
      <c r="P134" s="2"/>
      <c r="Q134" s="2"/>
      <c r="R134" s="2"/>
      <c r="S134" s="4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ht="14.25" customHeight="1">
      <c r="A135" s="2"/>
      <c r="B135" s="2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2"/>
      <c r="N135" s="2"/>
      <c r="O135" s="2"/>
      <c r="P135" s="2"/>
      <c r="Q135" s="2"/>
      <c r="R135" s="2"/>
      <c r="S135" s="4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ht="14.25" customHeight="1">
      <c r="A136" s="2"/>
      <c r="B136" s="2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2"/>
      <c r="N136" s="2"/>
      <c r="O136" s="2"/>
      <c r="P136" s="2"/>
      <c r="Q136" s="2"/>
      <c r="R136" s="2"/>
      <c r="S136" s="4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ht="14.25" customHeight="1">
      <c r="A137" s="2"/>
      <c r="B137" s="2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2"/>
      <c r="N137" s="2"/>
      <c r="O137" s="2"/>
      <c r="P137" s="2"/>
      <c r="Q137" s="2"/>
      <c r="R137" s="2"/>
      <c r="S137" s="4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ht="14.25" customHeight="1">
      <c r="A138" s="2"/>
      <c r="B138" s="2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2"/>
      <c r="N138" s="2"/>
      <c r="O138" s="2"/>
      <c r="P138" s="2"/>
      <c r="Q138" s="2"/>
      <c r="R138" s="2"/>
      <c r="S138" s="4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ht="14.25" customHeight="1">
      <c r="A139" s="2"/>
      <c r="B139" s="2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2"/>
      <c r="N139" s="2"/>
      <c r="O139" s="2"/>
      <c r="P139" s="2"/>
      <c r="Q139" s="2"/>
      <c r="R139" s="2"/>
      <c r="S139" s="4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ht="14.25" customHeight="1">
      <c r="A140" s="2"/>
      <c r="B140" s="2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2"/>
      <c r="N140" s="2"/>
      <c r="O140" s="2"/>
      <c r="P140" s="2"/>
      <c r="Q140" s="2"/>
      <c r="R140" s="2"/>
      <c r="S140" s="4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ht="14.25" customHeight="1">
      <c r="A141" s="2"/>
      <c r="B141" s="2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2"/>
      <c r="N141" s="2"/>
      <c r="O141" s="2"/>
      <c r="P141" s="2"/>
      <c r="Q141" s="2"/>
      <c r="R141" s="2"/>
      <c r="S141" s="4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ht="15.75" customHeight="1">
      <c r="A142" s="2"/>
      <c r="B142" s="2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2"/>
      <c r="N142" s="2"/>
      <c r="O142" s="2"/>
      <c r="P142" s="2"/>
      <c r="Q142" s="2"/>
      <c r="R142" s="2"/>
      <c r="S142" s="4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ht="15.75" customHeight="1">
      <c r="A143" s="2"/>
      <c r="B143" s="2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2"/>
      <c r="N143" s="2"/>
      <c r="O143" s="2"/>
      <c r="P143" s="2"/>
      <c r="Q143" s="2"/>
      <c r="R143" s="2"/>
      <c r="S143" s="4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ht="15.75" customHeight="1">
      <c r="A144" s="2"/>
      <c r="B144" s="2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2"/>
      <c r="N144" s="2"/>
      <c r="O144" s="2"/>
      <c r="P144" s="2"/>
      <c r="Q144" s="2"/>
      <c r="R144" s="2"/>
      <c r="S144" s="4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ht="15.75" customHeight="1">
      <c r="A145" s="2"/>
      <c r="B145" s="2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2"/>
      <c r="N145" s="2"/>
      <c r="O145" s="2"/>
      <c r="P145" s="2"/>
      <c r="Q145" s="2"/>
      <c r="R145" s="2"/>
      <c r="S145" s="4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ht="15.75" customHeight="1">
      <c r="A146" s="2"/>
      <c r="B146" s="2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2"/>
      <c r="N146" s="2"/>
      <c r="O146" s="2"/>
      <c r="P146" s="2"/>
      <c r="Q146" s="2"/>
      <c r="R146" s="2"/>
      <c r="S146" s="4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ht="15.75" customHeight="1">
      <c r="A147" s="2"/>
      <c r="B147" s="2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2"/>
      <c r="N147" s="2"/>
      <c r="O147" s="2"/>
      <c r="P147" s="2"/>
      <c r="Q147" s="2"/>
      <c r="R147" s="2"/>
      <c r="S147" s="4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ht="15.75" customHeight="1">
      <c r="A148" s="2"/>
      <c r="B148" s="2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2"/>
      <c r="N148" s="2"/>
      <c r="O148" s="2"/>
      <c r="P148" s="2"/>
      <c r="Q148" s="2"/>
      <c r="R148" s="2"/>
      <c r="S148" s="4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ht="15.75" customHeight="1">
      <c r="A149" s="2"/>
      <c r="B149" s="2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2"/>
      <c r="N149" s="2"/>
      <c r="O149" s="2"/>
      <c r="P149" s="2"/>
      <c r="Q149" s="2"/>
      <c r="R149" s="2"/>
      <c r="S149" s="4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ht="15.75" customHeight="1">
      <c r="A150" s="2"/>
      <c r="B150" s="2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2"/>
      <c r="N150" s="2"/>
      <c r="O150" s="2"/>
      <c r="P150" s="2"/>
      <c r="Q150" s="2"/>
      <c r="R150" s="2"/>
      <c r="S150" s="4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ht="15.75" customHeight="1">
      <c r="A151" s="2"/>
      <c r="B151" s="2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2"/>
      <c r="N151" s="2"/>
      <c r="O151" s="2"/>
      <c r="P151" s="2"/>
      <c r="Q151" s="2"/>
      <c r="R151" s="2"/>
      <c r="S151" s="4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ht="15.75" customHeight="1">
      <c r="A152" s="2"/>
      <c r="B152" s="2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2"/>
      <c r="N152" s="2"/>
      <c r="O152" s="2"/>
      <c r="P152" s="2"/>
      <c r="Q152" s="2"/>
      <c r="R152" s="2"/>
      <c r="S152" s="4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ht="15.75" customHeight="1">
      <c r="A153" s="2"/>
      <c r="B153" s="2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2"/>
      <c r="N153" s="2"/>
      <c r="O153" s="2"/>
      <c r="P153" s="2"/>
      <c r="Q153" s="2"/>
      <c r="R153" s="2"/>
      <c r="S153" s="4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ht="15.75" customHeight="1">
      <c r="A154" s="2"/>
      <c r="B154" s="2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2"/>
      <c r="N154" s="2"/>
      <c r="O154" s="2"/>
      <c r="P154" s="2"/>
      <c r="Q154" s="2"/>
      <c r="R154" s="2"/>
      <c r="S154" s="4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ht="15.75" customHeight="1">
      <c r="A155" s="2"/>
      <c r="B155" s="2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2"/>
      <c r="N155" s="2"/>
      <c r="O155" s="2"/>
      <c r="P155" s="2"/>
      <c r="Q155" s="2"/>
      <c r="R155" s="2"/>
      <c r="S155" s="4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ht="15.75" customHeight="1">
      <c r="A156" s="2"/>
      <c r="B156" s="2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2"/>
      <c r="N156" s="2"/>
      <c r="O156" s="2"/>
      <c r="P156" s="2"/>
      <c r="Q156" s="2"/>
      <c r="R156" s="2"/>
      <c r="S156" s="4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ht="15.75" customHeight="1">
      <c r="A157" s="2"/>
      <c r="B157" s="2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2"/>
      <c r="N157" s="2"/>
      <c r="O157" s="2"/>
      <c r="P157" s="2"/>
      <c r="Q157" s="2"/>
      <c r="R157" s="2"/>
      <c r="S157" s="4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ht="15.75" customHeight="1">
      <c r="A158" s="2"/>
      <c r="B158" s="2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2"/>
      <c r="N158" s="2"/>
      <c r="O158" s="2"/>
      <c r="P158" s="2"/>
      <c r="Q158" s="2"/>
      <c r="R158" s="2"/>
      <c r="S158" s="4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ht="15.75" customHeight="1">
      <c r="A159" s="2"/>
      <c r="B159" s="2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2"/>
      <c r="N159" s="2"/>
      <c r="O159" s="2"/>
      <c r="P159" s="2"/>
      <c r="Q159" s="2"/>
      <c r="R159" s="2"/>
      <c r="S159" s="4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ht="15.75" customHeight="1">
      <c r="A160" s="2"/>
      <c r="B160" s="2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2"/>
      <c r="N160" s="2"/>
      <c r="O160" s="2"/>
      <c r="P160" s="2"/>
      <c r="Q160" s="2"/>
      <c r="R160" s="2"/>
      <c r="S160" s="4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ht="15.75" customHeight="1">
      <c r="A161" s="2"/>
      <c r="B161" s="2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2"/>
      <c r="N161" s="2"/>
      <c r="O161" s="2"/>
      <c r="P161" s="2"/>
      <c r="Q161" s="2"/>
      <c r="R161" s="2"/>
      <c r="S161" s="4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ht="15.75" customHeight="1">
      <c r="A162" s="2"/>
      <c r="B162" s="2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2"/>
      <c r="N162" s="2"/>
      <c r="O162" s="2"/>
      <c r="P162" s="2"/>
      <c r="Q162" s="2"/>
      <c r="R162" s="2"/>
      <c r="S162" s="4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ht="15.75" customHeight="1">
      <c r="A163" s="2"/>
      <c r="B163" s="2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2"/>
      <c r="N163" s="2"/>
      <c r="O163" s="2"/>
      <c r="P163" s="2"/>
      <c r="Q163" s="2"/>
      <c r="R163" s="2"/>
      <c r="S163" s="4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ht="15.75" customHeight="1">
      <c r="A164" s="2"/>
      <c r="B164" s="2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2"/>
      <c r="N164" s="2"/>
      <c r="O164" s="2"/>
      <c r="P164" s="2"/>
      <c r="Q164" s="2"/>
      <c r="R164" s="2"/>
      <c r="S164" s="4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ht="15.75" customHeight="1">
      <c r="A165" s="2"/>
      <c r="B165" s="2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2"/>
      <c r="N165" s="2"/>
      <c r="O165" s="2"/>
      <c r="P165" s="2"/>
      <c r="Q165" s="2"/>
      <c r="R165" s="2"/>
      <c r="S165" s="4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ht="15.75" customHeight="1">
      <c r="A166" s="2"/>
      <c r="B166" s="2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2"/>
      <c r="N166" s="2"/>
      <c r="O166" s="2"/>
      <c r="P166" s="2"/>
      <c r="Q166" s="2"/>
      <c r="R166" s="2"/>
      <c r="S166" s="4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ht="15.75" customHeight="1">
      <c r="A167" s="2"/>
      <c r="B167" s="2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2"/>
      <c r="N167" s="2"/>
      <c r="O167" s="2"/>
      <c r="P167" s="2"/>
      <c r="Q167" s="2"/>
      <c r="R167" s="2"/>
      <c r="S167" s="4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ht="15.75" customHeight="1">
      <c r="A168" s="2"/>
      <c r="B168" s="2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2"/>
      <c r="N168" s="2"/>
      <c r="O168" s="2"/>
      <c r="P168" s="2"/>
      <c r="Q168" s="2"/>
      <c r="R168" s="2"/>
      <c r="S168" s="4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ht="15.75" customHeight="1">
      <c r="A169" s="2"/>
      <c r="B169" s="2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2"/>
      <c r="N169" s="2"/>
      <c r="O169" s="2"/>
      <c r="P169" s="2"/>
      <c r="Q169" s="2"/>
      <c r="R169" s="2"/>
      <c r="S169" s="4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ht="15.75" customHeight="1">
      <c r="A170" s="2"/>
      <c r="B170" s="2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2"/>
      <c r="N170" s="2"/>
      <c r="O170" s="2"/>
      <c r="P170" s="2"/>
      <c r="Q170" s="2"/>
      <c r="R170" s="2"/>
      <c r="S170" s="4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ht="15.75" customHeight="1">
      <c r="A171" s="2"/>
      <c r="B171" s="2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2"/>
      <c r="N171" s="2"/>
      <c r="O171" s="2"/>
      <c r="P171" s="2"/>
      <c r="Q171" s="2"/>
      <c r="R171" s="2"/>
      <c r="S171" s="4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ht="15.75" customHeight="1">
      <c r="A172" s="2"/>
      <c r="B172" s="2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2"/>
      <c r="N172" s="2"/>
      <c r="O172" s="2"/>
      <c r="P172" s="2"/>
      <c r="Q172" s="2"/>
      <c r="R172" s="2"/>
      <c r="S172" s="4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ht="15.75" customHeight="1">
      <c r="A173" s="2"/>
      <c r="B173" s="2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2"/>
      <c r="N173" s="2"/>
      <c r="O173" s="2"/>
      <c r="P173" s="2"/>
      <c r="Q173" s="2"/>
      <c r="R173" s="2"/>
      <c r="S173" s="4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ht="15.75" customHeight="1">
      <c r="A174" s="2"/>
      <c r="B174" s="2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2"/>
      <c r="N174" s="2"/>
      <c r="O174" s="2"/>
      <c r="P174" s="2"/>
      <c r="Q174" s="2"/>
      <c r="R174" s="2"/>
      <c r="S174" s="4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ht="15.75" customHeight="1">
      <c r="A175" s="2"/>
      <c r="B175" s="2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2"/>
      <c r="N175" s="2"/>
      <c r="O175" s="2"/>
      <c r="P175" s="2"/>
      <c r="Q175" s="2"/>
      <c r="R175" s="2"/>
      <c r="S175" s="4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ht="15.75" customHeight="1">
      <c r="A176" s="2"/>
      <c r="B176" s="2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2"/>
      <c r="N176" s="2"/>
      <c r="O176" s="2"/>
      <c r="P176" s="2"/>
      <c r="Q176" s="2"/>
      <c r="R176" s="2"/>
      <c r="S176" s="4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ht="15.75" customHeight="1">
      <c r="A177" s="2"/>
      <c r="B177" s="2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2"/>
      <c r="N177" s="2"/>
      <c r="O177" s="2"/>
      <c r="P177" s="2"/>
      <c r="Q177" s="2"/>
      <c r="R177" s="2"/>
      <c r="S177" s="4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ht="15.75" customHeight="1">
      <c r="A178" s="2"/>
      <c r="B178" s="2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2"/>
      <c r="N178" s="2"/>
      <c r="O178" s="2"/>
      <c r="P178" s="2"/>
      <c r="Q178" s="2"/>
      <c r="R178" s="2"/>
      <c r="S178" s="4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ht="15.75" customHeight="1">
      <c r="A179" s="2"/>
      <c r="B179" s="2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2"/>
      <c r="N179" s="2"/>
      <c r="O179" s="2"/>
      <c r="P179" s="2"/>
      <c r="Q179" s="2"/>
      <c r="R179" s="2"/>
      <c r="S179" s="4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ht="15.75" customHeight="1">
      <c r="A180" s="2"/>
      <c r="B180" s="2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2"/>
      <c r="N180" s="2"/>
      <c r="O180" s="2"/>
      <c r="P180" s="2"/>
      <c r="Q180" s="2"/>
      <c r="R180" s="2"/>
      <c r="S180" s="4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ht="15.75" customHeight="1">
      <c r="A181" s="2"/>
      <c r="B181" s="2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2"/>
      <c r="N181" s="2"/>
      <c r="O181" s="2"/>
      <c r="P181" s="2"/>
      <c r="Q181" s="2"/>
      <c r="R181" s="2"/>
      <c r="S181" s="4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ht="15.75" customHeight="1">
      <c r="A182" s="2"/>
      <c r="B182" s="2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2"/>
      <c r="N182" s="2"/>
      <c r="O182" s="2"/>
      <c r="P182" s="2"/>
      <c r="Q182" s="2"/>
      <c r="R182" s="2"/>
      <c r="S182" s="4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ht="15.75" customHeight="1">
      <c r="A183" s="2"/>
      <c r="B183" s="2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2"/>
      <c r="N183" s="2"/>
      <c r="O183" s="2"/>
      <c r="P183" s="2"/>
      <c r="Q183" s="2"/>
      <c r="R183" s="2"/>
      <c r="S183" s="4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ht="15.75" customHeight="1">
      <c r="A184" s="2"/>
      <c r="B184" s="2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2"/>
      <c r="N184" s="2"/>
      <c r="O184" s="2"/>
      <c r="P184" s="2"/>
      <c r="Q184" s="2"/>
      <c r="R184" s="2"/>
      <c r="S184" s="4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ht="15.75" customHeight="1">
      <c r="A185" s="2"/>
      <c r="B185" s="2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2"/>
      <c r="N185" s="2"/>
      <c r="O185" s="2"/>
      <c r="P185" s="2"/>
      <c r="Q185" s="2"/>
      <c r="R185" s="2"/>
      <c r="S185" s="4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ht="15.75" customHeight="1">
      <c r="A186" s="2"/>
      <c r="B186" s="2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2"/>
      <c r="N186" s="2"/>
      <c r="O186" s="2"/>
      <c r="P186" s="2"/>
      <c r="Q186" s="2"/>
      <c r="R186" s="2"/>
      <c r="S186" s="4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ht="15.75" customHeight="1">
      <c r="A187" s="2"/>
      <c r="B187" s="2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2"/>
      <c r="N187" s="2"/>
      <c r="O187" s="2"/>
      <c r="P187" s="2"/>
      <c r="Q187" s="2"/>
      <c r="R187" s="2"/>
      <c r="S187" s="4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ht="15.75" customHeight="1">
      <c r="A188" s="2"/>
      <c r="B188" s="2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2"/>
      <c r="N188" s="2"/>
      <c r="O188" s="2"/>
      <c r="P188" s="2"/>
      <c r="Q188" s="2"/>
      <c r="R188" s="2"/>
      <c r="S188" s="4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ht="15.75" customHeight="1">
      <c r="A189" s="2"/>
      <c r="B189" s="2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2"/>
      <c r="N189" s="2"/>
      <c r="O189" s="2"/>
      <c r="P189" s="2"/>
      <c r="Q189" s="2"/>
      <c r="R189" s="2"/>
      <c r="S189" s="4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ht="15.75" customHeight="1">
      <c r="A190" s="2"/>
      <c r="B190" s="2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2"/>
      <c r="N190" s="2"/>
      <c r="O190" s="2"/>
      <c r="P190" s="2"/>
      <c r="Q190" s="2"/>
      <c r="R190" s="2"/>
      <c r="S190" s="4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ht="15.75" customHeight="1">
      <c r="A191" s="2"/>
      <c r="B191" s="2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2"/>
      <c r="N191" s="2"/>
      <c r="O191" s="2"/>
      <c r="P191" s="2"/>
      <c r="Q191" s="2"/>
      <c r="R191" s="2"/>
      <c r="S191" s="4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ht="15.75" customHeight="1">
      <c r="A192" s="2"/>
      <c r="B192" s="2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2"/>
      <c r="N192" s="2"/>
      <c r="O192" s="2"/>
      <c r="P192" s="2"/>
      <c r="Q192" s="2"/>
      <c r="R192" s="2"/>
      <c r="S192" s="4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ht="15.75" customHeight="1">
      <c r="A193" s="2"/>
      <c r="B193" s="2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2"/>
      <c r="N193" s="2"/>
      <c r="O193" s="2"/>
      <c r="P193" s="2"/>
      <c r="Q193" s="2"/>
      <c r="R193" s="2"/>
      <c r="S193" s="4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ht="15.75" customHeight="1">
      <c r="A194" s="2"/>
      <c r="B194" s="2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2"/>
      <c r="N194" s="2"/>
      <c r="O194" s="2"/>
      <c r="P194" s="2"/>
      <c r="Q194" s="2"/>
      <c r="R194" s="2"/>
      <c r="S194" s="4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ht="15.75" customHeight="1">
      <c r="A195" s="2"/>
      <c r="B195" s="2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2"/>
      <c r="N195" s="2"/>
      <c r="O195" s="2"/>
      <c r="P195" s="2"/>
      <c r="Q195" s="2"/>
      <c r="R195" s="2"/>
      <c r="S195" s="4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ht="15.75" customHeight="1">
      <c r="A196" s="2"/>
      <c r="B196" s="2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2"/>
      <c r="N196" s="2"/>
      <c r="O196" s="2"/>
      <c r="P196" s="2"/>
      <c r="Q196" s="2"/>
      <c r="R196" s="2"/>
      <c r="S196" s="4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ht="15.75" customHeight="1">
      <c r="A197" s="2"/>
      <c r="B197" s="2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2"/>
      <c r="N197" s="2"/>
      <c r="O197" s="2"/>
      <c r="P197" s="2"/>
      <c r="Q197" s="2"/>
      <c r="R197" s="2"/>
      <c r="S197" s="4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ht="15.75" customHeight="1">
      <c r="A198" s="2"/>
      <c r="B198" s="2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2"/>
      <c r="N198" s="2"/>
      <c r="O198" s="2"/>
      <c r="P198" s="2"/>
      <c r="Q198" s="2"/>
      <c r="R198" s="2"/>
      <c r="S198" s="4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ht="15.75" customHeight="1">
      <c r="A199" s="2"/>
      <c r="B199" s="2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2"/>
      <c r="N199" s="2"/>
      <c r="O199" s="2"/>
      <c r="P199" s="2"/>
      <c r="Q199" s="2"/>
      <c r="R199" s="2"/>
      <c r="S199" s="4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ht="15.75" customHeight="1">
      <c r="A200" s="2"/>
      <c r="B200" s="2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2"/>
      <c r="N200" s="2"/>
      <c r="O200" s="2"/>
      <c r="P200" s="2"/>
      <c r="Q200" s="2"/>
      <c r="R200" s="2"/>
      <c r="S200" s="4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ht="15.75" customHeight="1">
      <c r="A201" s="2"/>
      <c r="B201" s="2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2"/>
      <c r="N201" s="2"/>
      <c r="O201" s="2"/>
      <c r="P201" s="2"/>
      <c r="Q201" s="2"/>
      <c r="R201" s="2"/>
      <c r="S201" s="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ht="15.75" customHeight="1">
      <c r="A202" s="2"/>
      <c r="B202" s="2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2"/>
      <c r="N202" s="2"/>
      <c r="O202" s="2"/>
      <c r="P202" s="2"/>
      <c r="Q202" s="2"/>
      <c r="R202" s="2"/>
      <c r="S202" s="4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ht="15.75" customHeight="1">
      <c r="A203" s="2"/>
      <c r="B203" s="2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2"/>
      <c r="N203" s="2"/>
      <c r="O203" s="2"/>
      <c r="P203" s="2"/>
      <c r="Q203" s="2"/>
      <c r="R203" s="2"/>
      <c r="S203" s="4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ht="15.75" customHeight="1">
      <c r="A204" s="2"/>
      <c r="B204" s="2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2"/>
      <c r="N204" s="2"/>
      <c r="O204" s="2"/>
      <c r="P204" s="2"/>
      <c r="Q204" s="2"/>
      <c r="R204" s="2"/>
      <c r="S204" s="4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ht="15.75" customHeight="1">
      <c r="A205" s="2"/>
      <c r="B205" s="2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2"/>
      <c r="N205" s="2"/>
      <c r="O205" s="2"/>
      <c r="P205" s="2"/>
      <c r="Q205" s="2"/>
      <c r="R205" s="2"/>
      <c r="S205" s="4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ht="15.75" customHeight="1">
      <c r="A206" s="2"/>
      <c r="B206" s="2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2"/>
      <c r="N206" s="2"/>
      <c r="O206" s="2"/>
      <c r="P206" s="2"/>
      <c r="Q206" s="2"/>
      <c r="R206" s="2"/>
      <c r="S206" s="4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ht="15.75" customHeight="1">
      <c r="A207" s="2"/>
      <c r="B207" s="2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2"/>
      <c r="N207" s="2"/>
      <c r="O207" s="2"/>
      <c r="P207" s="2"/>
      <c r="Q207" s="2"/>
      <c r="R207" s="2"/>
      <c r="S207" s="4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ht="15.75" customHeight="1">
      <c r="A208" s="2"/>
      <c r="B208" s="2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2"/>
      <c r="N208" s="2"/>
      <c r="O208" s="2"/>
      <c r="P208" s="2"/>
      <c r="Q208" s="2"/>
      <c r="R208" s="2"/>
      <c r="S208" s="4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ht="15.75" customHeight="1">
      <c r="A209" s="2"/>
      <c r="B209" s="2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2"/>
      <c r="N209" s="2"/>
      <c r="O209" s="2"/>
      <c r="P209" s="2"/>
      <c r="Q209" s="2"/>
      <c r="R209" s="2"/>
      <c r="S209" s="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ht="15.75" customHeight="1">
      <c r="A210" s="2"/>
      <c r="B210" s="2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2"/>
      <c r="N210" s="2"/>
      <c r="O210" s="2"/>
      <c r="P210" s="2"/>
      <c r="Q210" s="2"/>
      <c r="R210" s="2"/>
      <c r="S210" s="4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ht="15.75" customHeight="1">
      <c r="A211" s="2"/>
      <c r="B211" s="2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2"/>
      <c r="N211" s="2"/>
      <c r="O211" s="2"/>
      <c r="P211" s="2"/>
      <c r="Q211" s="2"/>
      <c r="R211" s="2"/>
      <c r="S211" s="4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ht="15.75" customHeight="1">
      <c r="A212" s="2"/>
      <c r="B212" s="2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2"/>
      <c r="N212" s="2"/>
      <c r="O212" s="2"/>
      <c r="P212" s="2"/>
      <c r="Q212" s="2"/>
      <c r="R212" s="2"/>
      <c r="S212" s="4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ht="15.75" customHeight="1">
      <c r="A213" s="2"/>
      <c r="B213" s="2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2"/>
      <c r="N213" s="2"/>
      <c r="O213" s="2"/>
      <c r="P213" s="2"/>
      <c r="Q213" s="2"/>
      <c r="R213" s="2"/>
      <c r="S213" s="4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ht="15.75" customHeight="1">
      <c r="A214" s="2"/>
      <c r="B214" s="2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2"/>
      <c r="N214" s="2"/>
      <c r="O214" s="2"/>
      <c r="P214" s="2"/>
      <c r="Q214" s="2"/>
      <c r="R214" s="2"/>
      <c r="S214" s="4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ht="15.75" customHeight="1">
      <c r="A215" s="2"/>
      <c r="B215" s="2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2"/>
      <c r="N215" s="2"/>
      <c r="O215" s="2"/>
      <c r="P215" s="2"/>
      <c r="Q215" s="2"/>
      <c r="R215" s="2"/>
      <c r="S215" s="4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ht="15.75" customHeight="1">
      <c r="A216" s="2"/>
      <c r="B216" s="2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2"/>
      <c r="N216" s="2"/>
      <c r="O216" s="2"/>
      <c r="P216" s="2"/>
      <c r="Q216" s="2"/>
      <c r="R216" s="2"/>
      <c r="S216" s="4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ht="15.75" customHeight="1">
      <c r="A217" s="2"/>
      <c r="B217" s="2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2"/>
      <c r="N217" s="2"/>
      <c r="O217" s="2"/>
      <c r="P217" s="2"/>
      <c r="Q217" s="2"/>
      <c r="R217" s="2"/>
      <c r="S217" s="4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ht="15.75" customHeight="1">
      <c r="A218" s="2"/>
      <c r="B218" s="2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2"/>
      <c r="N218" s="2"/>
      <c r="O218" s="2"/>
      <c r="P218" s="2"/>
      <c r="Q218" s="2"/>
      <c r="R218" s="2"/>
      <c r="S218" s="4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ht="15.75" customHeight="1">
      <c r="A219" s="2"/>
      <c r="B219" s="2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2"/>
      <c r="N219" s="2"/>
      <c r="O219" s="2"/>
      <c r="P219" s="2"/>
      <c r="Q219" s="2"/>
      <c r="R219" s="2"/>
      <c r="S219" s="4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ht="15.75" customHeight="1">
      <c r="A220" s="2"/>
      <c r="B220" s="2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2"/>
      <c r="N220" s="2"/>
      <c r="O220" s="2"/>
      <c r="P220" s="2"/>
      <c r="Q220" s="2"/>
      <c r="R220" s="2"/>
      <c r="S220" s="4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ht="15.75" customHeight="1">
      <c r="A221" s="2"/>
      <c r="B221" s="2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2"/>
      <c r="N221" s="2"/>
      <c r="O221" s="2"/>
      <c r="P221" s="2"/>
      <c r="Q221" s="2"/>
      <c r="R221" s="2"/>
      <c r="S221" s="4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ht="15.75" customHeight="1">
      <c r="A222" s="2"/>
      <c r="B222" s="2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2"/>
      <c r="N222" s="2"/>
      <c r="O222" s="2"/>
      <c r="P222" s="2"/>
      <c r="Q222" s="2"/>
      <c r="R222" s="2"/>
      <c r="S222" s="4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ht="15.75" customHeight="1">
      <c r="A223" s="2"/>
      <c r="B223" s="2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2"/>
      <c r="N223" s="2"/>
      <c r="O223" s="2"/>
      <c r="P223" s="2"/>
      <c r="Q223" s="2"/>
      <c r="R223" s="2"/>
      <c r="S223" s="4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ht="15.75" customHeight="1">
      <c r="A224" s="2"/>
      <c r="B224" s="2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2"/>
      <c r="N224" s="2"/>
      <c r="O224" s="2"/>
      <c r="P224" s="2"/>
      <c r="Q224" s="2"/>
      <c r="R224" s="2"/>
      <c r="S224" s="4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ht="15.75" customHeight="1">
      <c r="A225" s="2"/>
      <c r="B225" s="2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2"/>
      <c r="N225" s="2"/>
      <c r="O225" s="2"/>
      <c r="P225" s="2"/>
      <c r="Q225" s="2"/>
      <c r="R225" s="2"/>
      <c r="S225" s="4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ht="15.75" customHeight="1">
      <c r="A226" s="2"/>
      <c r="B226" s="2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2"/>
      <c r="N226" s="2"/>
      <c r="O226" s="2"/>
      <c r="P226" s="2"/>
      <c r="Q226" s="2"/>
      <c r="R226" s="2"/>
      <c r="S226" s="4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ht="15.75" customHeight="1">
      <c r="A227" s="2"/>
      <c r="B227" s="2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2"/>
      <c r="N227" s="2"/>
      <c r="O227" s="2"/>
      <c r="P227" s="2"/>
      <c r="Q227" s="2"/>
      <c r="R227" s="2"/>
      <c r="S227" s="4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ht="15.75" customHeight="1">
      <c r="A228" s="2"/>
      <c r="B228" s="2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2"/>
      <c r="N228" s="2"/>
      <c r="O228" s="2"/>
      <c r="P228" s="2"/>
      <c r="Q228" s="2"/>
      <c r="R228" s="2"/>
      <c r="S228" s="4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ht="15.75" customHeight="1">
      <c r="A229" s="2"/>
      <c r="B229" s="2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2"/>
      <c r="N229" s="2"/>
      <c r="O229" s="2"/>
      <c r="P229" s="2"/>
      <c r="Q229" s="2"/>
      <c r="R229" s="2"/>
      <c r="S229" s="4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ht="15.75" customHeight="1">
      <c r="A230" s="2"/>
      <c r="B230" s="2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2"/>
      <c r="N230" s="2"/>
      <c r="O230" s="2"/>
      <c r="P230" s="2"/>
      <c r="Q230" s="2"/>
      <c r="R230" s="2"/>
      <c r="S230" s="4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ht="15.75" customHeight="1">
      <c r="A231" s="2"/>
      <c r="B231" s="2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2"/>
      <c r="N231" s="2"/>
      <c r="O231" s="2"/>
      <c r="P231" s="2"/>
      <c r="Q231" s="2"/>
      <c r="R231" s="2"/>
      <c r="S231" s="4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ht="15.75" customHeight="1">
      <c r="A232" s="2"/>
      <c r="B232" s="2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2"/>
      <c r="N232" s="2"/>
      <c r="O232" s="2"/>
      <c r="P232" s="2"/>
      <c r="Q232" s="2"/>
      <c r="R232" s="2"/>
      <c r="S232" s="4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ht="15.75" customHeight="1">
      <c r="A233" s="2"/>
      <c r="B233" s="2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2"/>
      <c r="N233" s="2"/>
      <c r="O233" s="2"/>
      <c r="P233" s="2"/>
      <c r="Q233" s="2"/>
      <c r="R233" s="2"/>
      <c r="S233" s="4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ht="15.75" customHeight="1">
      <c r="A234" s="2"/>
      <c r="B234" s="2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2"/>
      <c r="N234" s="2"/>
      <c r="O234" s="2"/>
      <c r="P234" s="2"/>
      <c r="Q234" s="2"/>
      <c r="R234" s="2"/>
      <c r="S234" s="4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ht="15.75" customHeight="1">
      <c r="A235" s="2"/>
      <c r="B235" s="2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2"/>
      <c r="N235" s="2"/>
      <c r="O235" s="2"/>
      <c r="P235" s="2"/>
      <c r="Q235" s="2"/>
      <c r="R235" s="2"/>
      <c r="S235" s="4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ht="15.75" customHeight="1">
      <c r="A236" s="2"/>
      <c r="B236" s="2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2"/>
      <c r="N236" s="2"/>
      <c r="O236" s="2"/>
      <c r="P236" s="2"/>
      <c r="Q236" s="2"/>
      <c r="R236" s="2"/>
      <c r="S236" s="4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ht="15.75" customHeight="1">
      <c r="A237" s="2"/>
      <c r="B237" s="2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2"/>
      <c r="N237" s="2"/>
      <c r="O237" s="2"/>
      <c r="P237" s="2"/>
      <c r="Q237" s="2"/>
      <c r="R237" s="2"/>
      <c r="S237" s="4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ht="15.75" customHeight="1">
      <c r="A238" s="2"/>
      <c r="B238" s="2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2"/>
      <c r="N238" s="2"/>
      <c r="O238" s="2"/>
      <c r="P238" s="2"/>
      <c r="Q238" s="2"/>
      <c r="R238" s="2"/>
      <c r="S238" s="4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ht="15.75" customHeight="1">
      <c r="A239" s="2"/>
      <c r="B239" s="2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2"/>
      <c r="N239" s="2"/>
      <c r="O239" s="2"/>
      <c r="P239" s="2"/>
      <c r="Q239" s="2"/>
      <c r="R239" s="2"/>
      <c r="S239" s="4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ht="15.75" customHeight="1">
      <c r="A240" s="2"/>
      <c r="B240" s="2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2"/>
      <c r="N240" s="2"/>
      <c r="O240" s="2"/>
      <c r="P240" s="2"/>
      <c r="Q240" s="2"/>
      <c r="R240" s="2"/>
      <c r="S240" s="4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ht="15.75" customHeight="1">
      <c r="A241" s="2"/>
      <c r="B241" s="2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2"/>
      <c r="N241" s="2"/>
      <c r="O241" s="2"/>
      <c r="P241" s="2"/>
      <c r="Q241" s="2"/>
      <c r="R241" s="2"/>
      <c r="S241" s="4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ht="15.75" customHeight="1">
      <c r="A242" s="2"/>
      <c r="B242" s="2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2"/>
      <c r="N242" s="2"/>
      <c r="O242" s="2"/>
      <c r="P242" s="2"/>
      <c r="Q242" s="2"/>
      <c r="R242" s="2"/>
      <c r="S242" s="4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ht="15.75" customHeight="1">
      <c r="A243" s="2"/>
      <c r="B243" s="2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2"/>
      <c r="N243" s="2"/>
      <c r="O243" s="2"/>
      <c r="P243" s="2"/>
      <c r="Q243" s="2"/>
      <c r="R243" s="2"/>
      <c r="S243" s="4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ht="15.75" customHeight="1">
      <c r="A244" s="2"/>
      <c r="B244" s="2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2"/>
      <c r="N244" s="2"/>
      <c r="O244" s="2"/>
      <c r="P244" s="2"/>
      <c r="Q244" s="2"/>
      <c r="R244" s="2"/>
      <c r="S244" s="4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ht="15.75" customHeight="1">
      <c r="A245" s="2"/>
      <c r="B245" s="2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2"/>
      <c r="N245" s="2"/>
      <c r="O245" s="2"/>
      <c r="P245" s="2"/>
      <c r="Q245" s="2"/>
      <c r="R245" s="2"/>
      <c r="S245" s="4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ht="15.75" customHeight="1">
      <c r="A246" s="2"/>
      <c r="B246" s="2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2"/>
      <c r="N246" s="2"/>
      <c r="O246" s="2"/>
      <c r="P246" s="2"/>
      <c r="Q246" s="2"/>
      <c r="R246" s="2"/>
      <c r="S246" s="4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ht="15.75" customHeight="1">
      <c r="A247" s="2"/>
      <c r="B247" s="2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2"/>
      <c r="N247" s="2"/>
      <c r="O247" s="2"/>
      <c r="P247" s="2"/>
      <c r="Q247" s="2"/>
      <c r="R247" s="2"/>
      <c r="S247" s="4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ht="15.75" customHeight="1">
      <c r="A248" s="2"/>
      <c r="B248" s="2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2"/>
      <c r="N248" s="2"/>
      <c r="O248" s="2"/>
      <c r="P248" s="2"/>
      <c r="Q248" s="2"/>
      <c r="R248" s="2"/>
      <c r="S248" s="4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ht="15.75" customHeight="1">
      <c r="A249" s="2"/>
      <c r="B249" s="2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2"/>
      <c r="N249" s="2"/>
      <c r="O249" s="2"/>
      <c r="P249" s="2"/>
      <c r="Q249" s="2"/>
      <c r="R249" s="2"/>
      <c r="S249" s="4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ht="15.75" customHeight="1">
      <c r="A250" s="2"/>
      <c r="B250" s="2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2"/>
      <c r="N250" s="2"/>
      <c r="O250" s="2"/>
      <c r="P250" s="2"/>
      <c r="Q250" s="2"/>
      <c r="R250" s="2"/>
      <c r="S250" s="4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ht="15.75" customHeight="1">
      <c r="A251" s="2"/>
      <c r="B251" s="2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2"/>
      <c r="N251" s="2"/>
      <c r="O251" s="2"/>
      <c r="P251" s="2"/>
      <c r="Q251" s="2"/>
      <c r="R251" s="2"/>
      <c r="S251" s="4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ht="15.75" customHeight="1">
      <c r="A252" s="2"/>
      <c r="B252" s="2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2"/>
      <c r="N252" s="2"/>
      <c r="O252" s="2"/>
      <c r="P252" s="2"/>
      <c r="Q252" s="2"/>
      <c r="R252" s="2"/>
      <c r="S252" s="4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ht="15.75" customHeight="1">
      <c r="A253" s="2"/>
      <c r="B253" s="2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2"/>
      <c r="N253" s="2"/>
      <c r="O253" s="2"/>
      <c r="P253" s="2"/>
      <c r="Q253" s="2"/>
      <c r="R253" s="2"/>
      <c r="S253" s="4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ht="15.75" customHeight="1">
      <c r="A254" s="2"/>
      <c r="B254" s="2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2"/>
      <c r="N254" s="2"/>
      <c r="O254" s="2"/>
      <c r="P254" s="2"/>
      <c r="Q254" s="2"/>
      <c r="R254" s="2"/>
      <c r="S254" s="4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ht="15.75" customHeight="1">
      <c r="A255" s="2"/>
      <c r="B255" s="2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2"/>
      <c r="N255" s="2"/>
      <c r="O255" s="2"/>
      <c r="P255" s="2"/>
      <c r="Q255" s="2"/>
      <c r="R255" s="2"/>
      <c r="S255" s="4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ht="15.75" customHeight="1">
      <c r="A256" s="2"/>
      <c r="B256" s="2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2"/>
      <c r="N256" s="2"/>
      <c r="O256" s="2"/>
      <c r="P256" s="2"/>
      <c r="Q256" s="2"/>
      <c r="R256" s="2"/>
      <c r="S256" s="4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ht="15.75" customHeight="1">
      <c r="A257" s="2"/>
      <c r="B257" s="2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2"/>
      <c r="N257" s="2"/>
      <c r="O257" s="2"/>
      <c r="P257" s="2"/>
      <c r="Q257" s="2"/>
      <c r="R257" s="2"/>
      <c r="S257" s="4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ht="15.75" customHeight="1">
      <c r="A258" s="2"/>
      <c r="B258" s="2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2"/>
      <c r="N258" s="2"/>
      <c r="O258" s="2"/>
      <c r="P258" s="2"/>
      <c r="Q258" s="2"/>
      <c r="R258" s="2"/>
      <c r="S258" s="4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ht="15.75" customHeight="1">
      <c r="A259" s="2"/>
      <c r="B259" s="2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2"/>
      <c r="N259" s="2"/>
      <c r="O259" s="2"/>
      <c r="P259" s="2"/>
      <c r="Q259" s="2"/>
      <c r="R259" s="2"/>
      <c r="S259" s="4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ht="15.75" customHeight="1">
      <c r="A260" s="2"/>
      <c r="B260" s="2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2"/>
      <c r="N260" s="2"/>
      <c r="O260" s="2"/>
      <c r="P260" s="2"/>
      <c r="Q260" s="2"/>
      <c r="R260" s="2"/>
      <c r="S260" s="4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ht="15.75" customHeight="1">
      <c r="A261" s="2"/>
      <c r="B261" s="2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2"/>
      <c r="N261" s="2"/>
      <c r="O261" s="2"/>
      <c r="P261" s="2"/>
      <c r="Q261" s="2"/>
      <c r="R261" s="2"/>
      <c r="S261" s="4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ht="15.75" customHeight="1">
      <c r="A262" s="2"/>
      <c r="B262" s="2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2"/>
      <c r="N262" s="2"/>
      <c r="O262" s="2"/>
      <c r="P262" s="2"/>
      <c r="Q262" s="2"/>
      <c r="R262" s="2"/>
      <c r="S262" s="4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ht="15.75" customHeight="1">
      <c r="A263" s="2"/>
      <c r="B263" s="2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2"/>
      <c r="N263" s="2"/>
      <c r="O263" s="2"/>
      <c r="P263" s="2"/>
      <c r="Q263" s="2"/>
      <c r="R263" s="2"/>
      <c r="S263" s="4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ht="15.75" customHeight="1">
      <c r="A264" s="2"/>
      <c r="B264" s="2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2"/>
      <c r="N264" s="2"/>
      <c r="O264" s="2"/>
      <c r="P264" s="2"/>
      <c r="Q264" s="2"/>
      <c r="R264" s="2"/>
      <c r="S264" s="4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ht="15.75" customHeight="1">
      <c r="A265" s="2"/>
      <c r="B265" s="2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2"/>
      <c r="N265" s="2"/>
      <c r="O265" s="2"/>
      <c r="P265" s="2"/>
      <c r="Q265" s="2"/>
      <c r="R265" s="2"/>
      <c r="S265" s="4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ht="15.75" customHeight="1">
      <c r="A266" s="2"/>
      <c r="B266" s="2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2"/>
      <c r="N266" s="2"/>
      <c r="O266" s="2"/>
      <c r="P266" s="2"/>
      <c r="Q266" s="2"/>
      <c r="R266" s="2"/>
      <c r="S266" s="4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ht="15.75" customHeight="1">
      <c r="A267" s="2"/>
      <c r="B267" s="2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2"/>
      <c r="N267" s="2"/>
      <c r="O267" s="2"/>
      <c r="P267" s="2"/>
      <c r="Q267" s="2"/>
      <c r="R267" s="2"/>
      <c r="S267" s="4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ht="15.75" customHeight="1">
      <c r="A268" s="2"/>
      <c r="B268" s="2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2"/>
      <c r="N268" s="2"/>
      <c r="O268" s="2"/>
      <c r="P268" s="2"/>
      <c r="Q268" s="2"/>
      <c r="R268" s="2"/>
      <c r="S268" s="4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ht="15.75" customHeight="1">
      <c r="A269" s="2"/>
      <c r="B269" s="2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2"/>
      <c r="N269" s="2"/>
      <c r="O269" s="2"/>
      <c r="P269" s="2"/>
      <c r="Q269" s="2"/>
      <c r="R269" s="2"/>
      <c r="S269" s="4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ht="15.75" customHeight="1">
      <c r="A270" s="2"/>
      <c r="B270" s="2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2"/>
      <c r="N270" s="2"/>
      <c r="O270" s="2"/>
      <c r="P270" s="2"/>
      <c r="Q270" s="2"/>
      <c r="R270" s="2"/>
      <c r="S270" s="4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ht="15.75" customHeight="1">
      <c r="A271" s="2"/>
      <c r="B271" s="2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2"/>
      <c r="N271" s="2"/>
      <c r="O271" s="2"/>
      <c r="P271" s="2"/>
      <c r="Q271" s="2"/>
      <c r="R271" s="2"/>
      <c r="S271" s="4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ht="15.75" customHeight="1">
      <c r="A272" s="2"/>
      <c r="B272" s="2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2"/>
      <c r="N272" s="2"/>
      <c r="O272" s="2"/>
      <c r="P272" s="2"/>
      <c r="Q272" s="2"/>
      <c r="R272" s="2"/>
      <c r="S272" s="4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ht="15.75" customHeight="1">
      <c r="A273" s="2"/>
      <c r="B273" s="2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2"/>
      <c r="N273" s="2"/>
      <c r="O273" s="2"/>
      <c r="P273" s="2"/>
      <c r="Q273" s="2"/>
      <c r="R273" s="2"/>
      <c r="S273" s="4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ht="15.75" customHeight="1">
      <c r="A274" s="2"/>
      <c r="B274" s="2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2"/>
      <c r="N274" s="2"/>
      <c r="O274" s="2"/>
      <c r="P274" s="2"/>
      <c r="Q274" s="2"/>
      <c r="R274" s="2"/>
      <c r="S274" s="4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ht="15.75" customHeight="1">
      <c r="A275" s="2"/>
      <c r="B275" s="2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2"/>
      <c r="N275" s="2"/>
      <c r="O275" s="2"/>
      <c r="P275" s="2"/>
      <c r="Q275" s="2"/>
      <c r="R275" s="2"/>
      <c r="S275" s="4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15.75" customHeight="1">
      <c r="A276" s="2"/>
      <c r="B276" s="2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2"/>
      <c r="N276" s="2"/>
      <c r="O276" s="2"/>
      <c r="P276" s="2"/>
      <c r="Q276" s="2"/>
      <c r="R276" s="2"/>
      <c r="S276" s="4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ht="15.75" customHeight="1">
      <c r="A277" s="2"/>
      <c r="B277" s="2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2"/>
      <c r="N277" s="2"/>
      <c r="O277" s="2"/>
      <c r="P277" s="2"/>
      <c r="Q277" s="2"/>
      <c r="R277" s="2"/>
      <c r="S277" s="4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ht="15.75" customHeight="1">
      <c r="A278" s="2"/>
      <c r="B278" s="2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2"/>
      <c r="N278" s="2"/>
      <c r="O278" s="2"/>
      <c r="P278" s="2"/>
      <c r="Q278" s="2"/>
      <c r="R278" s="2"/>
      <c r="S278" s="4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ht="15.75" customHeight="1">
      <c r="A279" s="2"/>
      <c r="B279" s="2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2"/>
      <c r="N279" s="2"/>
      <c r="O279" s="2"/>
      <c r="P279" s="2"/>
      <c r="Q279" s="2"/>
      <c r="R279" s="2"/>
      <c r="S279" s="4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ht="15.75" customHeight="1">
      <c r="A280" s="2"/>
      <c r="B280" s="2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2"/>
      <c r="N280" s="2"/>
      <c r="O280" s="2"/>
      <c r="P280" s="2"/>
      <c r="Q280" s="2"/>
      <c r="R280" s="2"/>
      <c r="S280" s="4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ht="15.75" customHeight="1">
      <c r="A281" s="2"/>
      <c r="B281" s="2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2"/>
      <c r="N281" s="2"/>
      <c r="O281" s="2"/>
      <c r="P281" s="2"/>
      <c r="Q281" s="2"/>
      <c r="R281" s="2"/>
      <c r="S281" s="4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ht="15.75" customHeight="1">
      <c r="A282" s="2"/>
      <c r="B282" s="2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2"/>
      <c r="N282" s="2"/>
      <c r="O282" s="2"/>
      <c r="P282" s="2"/>
      <c r="Q282" s="2"/>
      <c r="R282" s="2"/>
      <c r="S282" s="4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ht="15.75" customHeight="1">
      <c r="A283" s="2"/>
      <c r="B283" s="2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2"/>
      <c r="N283" s="2"/>
      <c r="O283" s="2"/>
      <c r="P283" s="2"/>
      <c r="Q283" s="2"/>
      <c r="R283" s="2"/>
      <c r="S283" s="4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ht="15.75" customHeight="1">
      <c r="A284" s="2"/>
      <c r="B284" s="2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2"/>
      <c r="N284" s="2"/>
      <c r="O284" s="2"/>
      <c r="P284" s="2"/>
      <c r="Q284" s="2"/>
      <c r="R284" s="2"/>
      <c r="S284" s="4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ht="15.75" customHeight="1">
      <c r="A285" s="2"/>
      <c r="B285" s="2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2"/>
      <c r="N285" s="2"/>
      <c r="O285" s="2"/>
      <c r="P285" s="2"/>
      <c r="Q285" s="2"/>
      <c r="R285" s="2"/>
      <c r="S285" s="4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ht="15.75" customHeight="1">
      <c r="A286" s="2"/>
      <c r="B286" s="2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2"/>
      <c r="N286" s="2"/>
      <c r="O286" s="2"/>
      <c r="P286" s="2"/>
      <c r="Q286" s="2"/>
      <c r="R286" s="2"/>
      <c r="S286" s="4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ht="15.75" customHeight="1">
      <c r="A287" s="2"/>
      <c r="B287" s="2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2"/>
      <c r="N287" s="2"/>
      <c r="O287" s="2"/>
      <c r="P287" s="2"/>
      <c r="Q287" s="2"/>
      <c r="R287" s="2"/>
      <c r="S287" s="4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ht="15.75" customHeight="1">
      <c r="A288" s="2"/>
      <c r="B288" s="2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2"/>
      <c r="N288" s="2"/>
      <c r="O288" s="2"/>
      <c r="P288" s="2"/>
      <c r="Q288" s="2"/>
      <c r="R288" s="2"/>
      <c r="S288" s="4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ht="15.75" customHeight="1">
      <c r="A289" s="2"/>
      <c r="B289" s="2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2"/>
      <c r="N289" s="2"/>
      <c r="O289" s="2"/>
      <c r="P289" s="2"/>
      <c r="Q289" s="2"/>
      <c r="R289" s="2"/>
      <c r="S289" s="4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ht="15.75" customHeight="1">
      <c r="A290" s="2"/>
      <c r="B290" s="2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2"/>
      <c r="N290" s="2"/>
      <c r="O290" s="2"/>
      <c r="P290" s="2"/>
      <c r="Q290" s="2"/>
      <c r="R290" s="2"/>
      <c r="S290" s="4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ht="15.75" customHeight="1">
      <c r="A291" s="2"/>
      <c r="B291" s="2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2"/>
      <c r="N291" s="2"/>
      <c r="O291" s="2"/>
      <c r="P291" s="2"/>
      <c r="Q291" s="2"/>
      <c r="R291" s="2"/>
      <c r="S291" s="4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ht="15.75" customHeight="1">
      <c r="A292" s="2"/>
      <c r="B292" s="2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2"/>
      <c r="N292" s="2"/>
      <c r="O292" s="2"/>
      <c r="P292" s="2"/>
      <c r="Q292" s="2"/>
      <c r="R292" s="2"/>
      <c r="S292" s="4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ht="15.75" customHeight="1">
      <c r="A293" s="2"/>
      <c r="B293" s="2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2"/>
      <c r="N293" s="2"/>
      <c r="O293" s="2"/>
      <c r="P293" s="2"/>
      <c r="Q293" s="2"/>
      <c r="R293" s="2"/>
      <c r="S293" s="4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ht="15.75" customHeight="1">
      <c r="A294" s="2"/>
      <c r="B294" s="2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2"/>
      <c r="N294" s="2"/>
      <c r="O294" s="2"/>
      <c r="P294" s="2"/>
      <c r="Q294" s="2"/>
      <c r="R294" s="2"/>
      <c r="S294" s="4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ht="15.75" customHeight="1">
      <c r="A295" s="2"/>
      <c r="B295" s="2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2"/>
      <c r="N295" s="2"/>
      <c r="O295" s="2"/>
      <c r="P295" s="2"/>
      <c r="Q295" s="2"/>
      <c r="R295" s="2"/>
      <c r="S295" s="4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ht="15.75" customHeight="1">
      <c r="A296" s="2"/>
      <c r="B296" s="2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2"/>
      <c r="N296" s="2"/>
      <c r="O296" s="2"/>
      <c r="P296" s="2"/>
      <c r="Q296" s="2"/>
      <c r="R296" s="2"/>
      <c r="S296" s="4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ht="15.75" customHeight="1">
      <c r="A297" s="2"/>
      <c r="B297" s="2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2"/>
      <c r="N297" s="2"/>
      <c r="O297" s="2"/>
      <c r="P297" s="2"/>
      <c r="Q297" s="2"/>
      <c r="R297" s="2"/>
      <c r="S297" s="4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ht="15.75" customHeight="1">
      <c r="A298" s="2"/>
      <c r="B298" s="2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2"/>
      <c r="N298" s="2"/>
      <c r="O298" s="2"/>
      <c r="P298" s="2"/>
      <c r="Q298" s="2"/>
      <c r="R298" s="2"/>
      <c r="S298" s="4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ht="15.75" customHeight="1">
      <c r="A299" s="2"/>
      <c r="B299" s="2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2"/>
      <c r="N299" s="2"/>
      <c r="O299" s="2"/>
      <c r="P299" s="2"/>
      <c r="Q299" s="2"/>
      <c r="R299" s="2"/>
      <c r="S299" s="4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ht="15.75" customHeight="1">
      <c r="A300" s="2"/>
      <c r="B300" s="2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2"/>
      <c r="N300" s="2"/>
      <c r="O300" s="2"/>
      <c r="P300" s="2"/>
      <c r="Q300" s="2"/>
      <c r="R300" s="2"/>
      <c r="S300" s="4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ht="15.75" customHeight="1">
      <c r="A301" s="2"/>
      <c r="B301" s="2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2"/>
      <c r="N301" s="2"/>
      <c r="O301" s="2"/>
      <c r="P301" s="2"/>
      <c r="Q301" s="2"/>
      <c r="R301" s="2"/>
      <c r="S301" s="4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ht="15.75" customHeight="1">
      <c r="A302" s="2"/>
      <c r="B302" s="2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2"/>
      <c r="N302" s="2"/>
      <c r="O302" s="2"/>
      <c r="P302" s="2"/>
      <c r="Q302" s="2"/>
      <c r="R302" s="2"/>
      <c r="S302" s="4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ht="15.75" customHeight="1">
      <c r="A303" s="2"/>
      <c r="B303" s="2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2"/>
      <c r="N303" s="2"/>
      <c r="O303" s="2"/>
      <c r="P303" s="2"/>
      <c r="Q303" s="2"/>
      <c r="R303" s="2"/>
      <c r="S303" s="4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ht="15.75" customHeight="1">
      <c r="A304" s="2"/>
      <c r="B304" s="2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2"/>
      <c r="N304" s="2"/>
      <c r="O304" s="2"/>
      <c r="P304" s="2"/>
      <c r="Q304" s="2"/>
      <c r="R304" s="2"/>
      <c r="S304" s="4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ht="15.75" customHeight="1">
      <c r="A305" s="2"/>
      <c r="B305" s="2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2"/>
      <c r="N305" s="2"/>
      <c r="O305" s="2"/>
      <c r="P305" s="2"/>
      <c r="Q305" s="2"/>
      <c r="R305" s="2"/>
      <c r="S305" s="4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ht="15.75" customHeight="1">
      <c r="A306" s="2"/>
      <c r="B306" s="2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2"/>
      <c r="N306" s="2"/>
      <c r="O306" s="2"/>
      <c r="P306" s="2"/>
      <c r="Q306" s="2"/>
      <c r="R306" s="2"/>
      <c r="S306" s="4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ht="15.75" customHeight="1">
      <c r="A307" s="2"/>
      <c r="B307" s="2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2"/>
      <c r="N307" s="2"/>
      <c r="O307" s="2"/>
      <c r="P307" s="2"/>
      <c r="Q307" s="2"/>
      <c r="R307" s="2"/>
      <c r="S307" s="4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ht="15.75" customHeight="1">
      <c r="A308" s="2"/>
      <c r="B308" s="2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2"/>
      <c r="N308" s="2"/>
      <c r="O308" s="2"/>
      <c r="P308" s="2"/>
      <c r="Q308" s="2"/>
      <c r="R308" s="2"/>
      <c r="S308" s="4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ht="15.75" customHeight="1">
      <c r="A309" s="2"/>
      <c r="B309" s="2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2"/>
      <c r="N309" s="2"/>
      <c r="O309" s="2"/>
      <c r="P309" s="2"/>
      <c r="Q309" s="2"/>
      <c r="R309" s="2"/>
      <c r="S309" s="4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ht="15.75" customHeight="1">
      <c r="A310" s="2"/>
      <c r="B310" s="2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2"/>
      <c r="N310" s="2"/>
      <c r="O310" s="2"/>
      <c r="P310" s="2"/>
      <c r="Q310" s="2"/>
      <c r="R310" s="2"/>
      <c r="S310" s="4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ht="15.75" customHeight="1">
      <c r="A311" s="2"/>
      <c r="B311" s="2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2"/>
      <c r="N311" s="2"/>
      <c r="O311" s="2"/>
      <c r="P311" s="2"/>
      <c r="Q311" s="2"/>
      <c r="R311" s="2"/>
      <c r="S311" s="4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ht="15.75" customHeight="1">
      <c r="A312" s="2"/>
      <c r="B312" s="2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2"/>
      <c r="N312" s="2"/>
      <c r="O312" s="2"/>
      <c r="P312" s="2"/>
      <c r="Q312" s="2"/>
      <c r="R312" s="2"/>
      <c r="S312" s="4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ht="15.75" customHeight="1">
      <c r="A313" s="2"/>
      <c r="B313" s="2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2"/>
      <c r="N313" s="2"/>
      <c r="O313" s="2"/>
      <c r="P313" s="2"/>
      <c r="Q313" s="2"/>
      <c r="R313" s="2"/>
      <c r="S313" s="4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ht="15.75" customHeight="1">
      <c r="A314" s="2"/>
      <c r="B314" s="2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2"/>
      <c r="N314" s="2"/>
      <c r="O314" s="2"/>
      <c r="P314" s="2"/>
      <c r="Q314" s="2"/>
      <c r="R314" s="2"/>
      <c r="S314" s="4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15.75" customHeight="1">
      <c r="A315" s="2"/>
      <c r="B315" s="2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2"/>
      <c r="N315" s="2"/>
      <c r="O315" s="2"/>
      <c r="P315" s="2"/>
      <c r="Q315" s="2"/>
      <c r="R315" s="2"/>
      <c r="S315" s="4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ht="15.75" customHeight="1">
      <c r="A316" s="2"/>
      <c r="B316" s="2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2"/>
      <c r="N316" s="2"/>
      <c r="O316" s="2"/>
      <c r="P316" s="2"/>
      <c r="Q316" s="2"/>
      <c r="R316" s="2"/>
      <c r="S316" s="4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ht="15.75" customHeight="1">
      <c r="A317" s="2"/>
      <c r="B317" s="2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2"/>
      <c r="N317" s="2"/>
      <c r="O317" s="2"/>
      <c r="P317" s="2"/>
      <c r="Q317" s="2"/>
      <c r="R317" s="2"/>
      <c r="S317" s="4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ht="15.75" customHeight="1">
      <c r="A318" s="2"/>
      <c r="B318" s="2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2"/>
      <c r="N318" s="2"/>
      <c r="O318" s="2"/>
      <c r="P318" s="2"/>
      <c r="Q318" s="2"/>
      <c r="R318" s="2"/>
      <c r="S318" s="4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ht="15.75" customHeight="1">
      <c r="A319" s="2"/>
      <c r="B319" s="2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2"/>
      <c r="N319" s="2"/>
      <c r="O319" s="2"/>
      <c r="P319" s="2"/>
      <c r="Q319" s="2"/>
      <c r="R319" s="2"/>
      <c r="S319" s="4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ht="15.75" customHeight="1">
      <c r="A320" s="2"/>
      <c r="B320" s="2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2"/>
      <c r="N320" s="2"/>
      <c r="O320" s="2"/>
      <c r="P320" s="2"/>
      <c r="Q320" s="2"/>
      <c r="R320" s="2"/>
      <c r="S320" s="4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ht="15.75" customHeight="1">
      <c r="A321" s="2"/>
      <c r="B321" s="2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2"/>
      <c r="N321" s="2"/>
      <c r="O321" s="2"/>
      <c r="P321" s="2"/>
      <c r="Q321" s="2"/>
      <c r="R321" s="2"/>
      <c r="S321" s="4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ht="15.75" customHeight="1">
      <c r="A322" s="2"/>
      <c r="B322" s="2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2"/>
      <c r="N322" s="2"/>
      <c r="O322" s="2"/>
      <c r="P322" s="2"/>
      <c r="Q322" s="2"/>
      <c r="R322" s="2"/>
      <c r="S322" s="4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ht="15.75" customHeight="1">
      <c r="A323" s="2"/>
      <c r="B323" s="2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2"/>
      <c r="N323" s="2"/>
      <c r="O323" s="2"/>
      <c r="P323" s="2"/>
      <c r="Q323" s="2"/>
      <c r="R323" s="2"/>
      <c r="S323" s="4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ht="15.75" customHeight="1">
      <c r="A324" s="2"/>
      <c r="B324" s="2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2"/>
      <c r="N324" s="2"/>
      <c r="O324" s="2"/>
      <c r="P324" s="2"/>
      <c r="Q324" s="2"/>
      <c r="R324" s="2"/>
      <c r="S324" s="4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ht="15.75" customHeight="1">
      <c r="A325" s="2"/>
      <c r="B325" s="2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2"/>
      <c r="N325" s="2"/>
      <c r="O325" s="2"/>
      <c r="P325" s="2"/>
      <c r="Q325" s="2"/>
      <c r="R325" s="2"/>
      <c r="S325" s="4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ht="15.75" customHeight="1">
      <c r="A326" s="2"/>
      <c r="B326" s="2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2"/>
      <c r="N326" s="2"/>
      <c r="O326" s="2"/>
      <c r="P326" s="2"/>
      <c r="Q326" s="2"/>
      <c r="R326" s="2"/>
      <c r="S326" s="4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ht="15.75" customHeight="1">
      <c r="A327" s="2"/>
      <c r="B327" s="2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2"/>
      <c r="N327" s="2"/>
      <c r="O327" s="2"/>
      <c r="P327" s="2"/>
      <c r="Q327" s="2"/>
      <c r="R327" s="2"/>
      <c r="S327" s="4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ht="15.75" customHeight="1">
      <c r="A328" s="2"/>
      <c r="B328" s="2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2"/>
      <c r="N328" s="2"/>
      <c r="O328" s="2"/>
      <c r="P328" s="2"/>
      <c r="Q328" s="2"/>
      <c r="R328" s="2"/>
      <c r="S328" s="4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ht="15.75" customHeight="1">
      <c r="A329" s="2"/>
      <c r="B329" s="2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2"/>
      <c r="N329" s="2"/>
      <c r="O329" s="2"/>
      <c r="P329" s="2"/>
      <c r="Q329" s="2"/>
      <c r="R329" s="2"/>
      <c r="S329" s="4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ht="15.75" customHeight="1">
      <c r="A330" s="2"/>
      <c r="B330" s="2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2"/>
      <c r="N330" s="2"/>
      <c r="O330" s="2"/>
      <c r="P330" s="2"/>
      <c r="Q330" s="2"/>
      <c r="R330" s="2"/>
      <c r="S330" s="4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15.75" customHeight="1">
      <c r="A331" s="2"/>
      <c r="B331" s="2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2"/>
      <c r="N331" s="2"/>
      <c r="O331" s="2"/>
      <c r="P331" s="2"/>
      <c r="Q331" s="2"/>
      <c r="R331" s="2"/>
      <c r="S331" s="4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ht="15.75" customHeight="1">
      <c r="A332" s="2"/>
      <c r="B332" s="2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2"/>
      <c r="N332" s="2"/>
      <c r="O332" s="2"/>
      <c r="P332" s="2"/>
      <c r="Q332" s="2"/>
      <c r="R332" s="2"/>
      <c r="S332" s="4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ht="15.75" customHeight="1">
      <c r="A333" s="2"/>
      <c r="B333" s="2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2"/>
      <c r="N333" s="2"/>
      <c r="O333" s="2"/>
      <c r="P333" s="2"/>
      <c r="Q333" s="2"/>
      <c r="R333" s="2"/>
      <c r="S333" s="4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ht="15.75" customHeight="1">
      <c r="A334" s="2"/>
      <c r="B334" s="2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2"/>
      <c r="N334" s="2"/>
      <c r="O334" s="2"/>
      <c r="P334" s="2"/>
      <c r="Q334" s="2"/>
      <c r="R334" s="2"/>
      <c r="S334" s="4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ht="15.75" customHeight="1">
      <c r="A335" s="2"/>
      <c r="B335" s="2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2"/>
      <c r="N335" s="2"/>
      <c r="O335" s="2"/>
      <c r="P335" s="2"/>
      <c r="Q335" s="2"/>
      <c r="R335" s="2"/>
      <c r="S335" s="4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ht="15.75" customHeight="1">
      <c r="A336" s="2"/>
      <c r="B336" s="2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2"/>
      <c r="N336" s="2"/>
      <c r="O336" s="2"/>
      <c r="P336" s="2"/>
      <c r="Q336" s="2"/>
      <c r="R336" s="2"/>
      <c r="S336" s="4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ht="15.75" customHeight="1">
      <c r="A337" s="2"/>
      <c r="B337" s="2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2"/>
      <c r="N337" s="2"/>
      <c r="O337" s="2"/>
      <c r="P337" s="2"/>
      <c r="Q337" s="2"/>
      <c r="R337" s="2"/>
      <c r="S337" s="4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ht="15.75" customHeight="1">
      <c r="A338" s="2"/>
      <c r="B338" s="2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2"/>
      <c r="N338" s="2"/>
      <c r="O338" s="2"/>
      <c r="P338" s="2"/>
      <c r="Q338" s="2"/>
      <c r="R338" s="2"/>
      <c r="S338" s="4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ht="15.75" customHeight="1">
      <c r="A339" s="2"/>
      <c r="B339" s="2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2"/>
      <c r="N339" s="2"/>
      <c r="O339" s="2"/>
      <c r="P339" s="2"/>
      <c r="Q339" s="2"/>
      <c r="R339" s="2"/>
      <c r="S339" s="4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ht="15.75" customHeight="1">
      <c r="A340" s="2"/>
      <c r="B340" s="2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2"/>
      <c r="N340" s="2"/>
      <c r="O340" s="2"/>
      <c r="P340" s="2"/>
      <c r="Q340" s="2"/>
      <c r="R340" s="2"/>
      <c r="S340" s="4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ht="15.75" customHeight="1">
      <c r="A341" s="2"/>
      <c r="B341" s="2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2"/>
      <c r="N341" s="2"/>
      <c r="O341" s="2"/>
      <c r="P341" s="2"/>
      <c r="Q341" s="2"/>
      <c r="R341" s="2"/>
      <c r="S341" s="4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ht="15.75" customHeight="1">
      <c r="A342" s="2"/>
      <c r="B342" s="2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2"/>
      <c r="N342" s="2"/>
      <c r="O342" s="2"/>
      <c r="P342" s="2"/>
      <c r="Q342" s="2"/>
      <c r="R342" s="2"/>
      <c r="S342" s="4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ht="15.75" customHeight="1">
      <c r="A343" s="2"/>
      <c r="B343" s="2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2"/>
      <c r="N343" s="2"/>
      <c r="O343" s="2"/>
      <c r="P343" s="2"/>
      <c r="Q343" s="2"/>
      <c r="R343" s="2"/>
      <c r="S343" s="4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ht="15.75" customHeight="1">
      <c r="A344" s="2"/>
      <c r="B344" s="2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2"/>
      <c r="N344" s="2"/>
      <c r="O344" s="2"/>
      <c r="P344" s="2"/>
      <c r="Q344" s="2"/>
      <c r="R344" s="2"/>
      <c r="S344" s="4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ht="15.75" customHeight="1">
      <c r="A345" s="2"/>
      <c r="B345" s="2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2"/>
      <c r="N345" s="2"/>
      <c r="O345" s="2"/>
      <c r="P345" s="2"/>
      <c r="Q345" s="2"/>
      <c r="R345" s="2"/>
      <c r="S345" s="4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ht="15.75" customHeight="1">
      <c r="A346" s="2"/>
      <c r="B346" s="2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2"/>
      <c r="N346" s="2"/>
      <c r="O346" s="2"/>
      <c r="P346" s="2"/>
      <c r="Q346" s="2"/>
      <c r="R346" s="2"/>
      <c r="S346" s="4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15.75" customHeight="1">
      <c r="A347" s="2"/>
      <c r="B347" s="2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2"/>
      <c r="N347" s="2"/>
      <c r="O347" s="2"/>
      <c r="P347" s="2"/>
      <c r="Q347" s="2"/>
      <c r="R347" s="2"/>
      <c r="S347" s="4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15.75" customHeight="1">
      <c r="A348" s="2"/>
      <c r="B348" s="2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2"/>
      <c r="N348" s="2"/>
      <c r="O348" s="2"/>
      <c r="P348" s="2"/>
      <c r="Q348" s="2"/>
      <c r="R348" s="2"/>
      <c r="S348" s="4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ht="15.75" customHeight="1">
      <c r="A349" s="2"/>
      <c r="B349" s="2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2"/>
      <c r="N349" s="2"/>
      <c r="O349" s="2"/>
      <c r="P349" s="2"/>
      <c r="Q349" s="2"/>
      <c r="R349" s="2"/>
      <c r="S349" s="4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ht="15.75" customHeight="1">
      <c r="A350" s="2"/>
      <c r="B350" s="2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2"/>
      <c r="N350" s="2"/>
      <c r="O350" s="2"/>
      <c r="P350" s="2"/>
      <c r="Q350" s="2"/>
      <c r="R350" s="2"/>
      <c r="S350" s="4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15.75" customHeight="1">
      <c r="A351" s="2"/>
      <c r="B351" s="2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2"/>
      <c r="N351" s="2"/>
      <c r="O351" s="2"/>
      <c r="P351" s="2"/>
      <c r="Q351" s="2"/>
      <c r="R351" s="2"/>
      <c r="S351" s="4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ht="15.75" customHeight="1">
      <c r="A352" s="2"/>
      <c r="B352" s="2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2"/>
      <c r="N352" s="2"/>
      <c r="O352" s="2"/>
      <c r="P352" s="2"/>
      <c r="Q352" s="2"/>
      <c r="R352" s="2"/>
      <c r="S352" s="4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ht="15.75" customHeight="1">
      <c r="A353" s="2"/>
      <c r="B353" s="2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2"/>
      <c r="N353" s="2"/>
      <c r="O353" s="2"/>
      <c r="P353" s="2"/>
      <c r="Q353" s="2"/>
      <c r="R353" s="2"/>
      <c r="S353" s="4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ht="15.75" customHeight="1">
      <c r="A354" s="2"/>
      <c r="B354" s="2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2"/>
      <c r="N354" s="2"/>
      <c r="O354" s="2"/>
      <c r="P354" s="2"/>
      <c r="Q354" s="2"/>
      <c r="R354" s="2"/>
      <c r="S354" s="4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ht="15.75" customHeight="1">
      <c r="A355" s="2"/>
      <c r="B355" s="2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2"/>
      <c r="N355" s="2"/>
      <c r="O355" s="2"/>
      <c r="P355" s="2"/>
      <c r="Q355" s="2"/>
      <c r="R355" s="2"/>
      <c r="S355" s="4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ht="15.75" customHeight="1">
      <c r="A356" s="2"/>
      <c r="B356" s="2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2"/>
      <c r="N356" s="2"/>
      <c r="O356" s="2"/>
      <c r="P356" s="2"/>
      <c r="Q356" s="2"/>
      <c r="R356" s="2"/>
      <c r="S356" s="4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ht="15.75" customHeight="1">
      <c r="A357" s="2"/>
      <c r="B357" s="2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2"/>
      <c r="N357" s="2"/>
      <c r="O357" s="2"/>
      <c r="P357" s="2"/>
      <c r="Q357" s="2"/>
      <c r="R357" s="2"/>
      <c r="S357" s="4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ht="15.75" customHeight="1">
      <c r="A358" s="2"/>
      <c r="B358" s="2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2"/>
      <c r="N358" s="2"/>
      <c r="O358" s="2"/>
      <c r="P358" s="2"/>
      <c r="Q358" s="2"/>
      <c r="R358" s="2"/>
      <c r="S358" s="4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ht="15.75" customHeight="1">
      <c r="A359" s="2"/>
      <c r="B359" s="2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2"/>
      <c r="N359" s="2"/>
      <c r="O359" s="2"/>
      <c r="P359" s="2"/>
      <c r="Q359" s="2"/>
      <c r="R359" s="2"/>
      <c r="S359" s="4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ht="15.75" customHeight="1">
      <c r="A360" s="2"/>
      <c r="B360" s="2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2"/>
      <c r="N360" s="2"/>
      <c r="O360" s="2"/>
      <c r="P360" s="2"/>
      <c r="Q360" s="2"/>
      <c r="R360" s="2"/>
      <c r="S360" s="4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ht="15.75" customHeight="1">
      <c r="A361" s="2"/>
      <c r="B361" s="2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2"/>
      <c r="N361" s="2"/>
      <c r="O361" s="2"/>
      <c r="P361" s="2"/>
      <c r="Q361" s="2"/>
      <c r="R361" s="2"/>
      <c r="S361" s="4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ht="15.75" customHeight="1">
      <c r="A362" s="2"/>
      <c r="B362" s="2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2"/>
      <c r="N362" s="2"/>
      <c r="O362" s="2"/>
      <c r="P362" s="2"/>
      <c r="Q362" s="2"/>
      <c r="R362" s="2"/>
      <c r="S362" s="4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ht="15.75" customHeight="1">
      <c r="A363" s="2"/>
      <c r="B363" s="2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2"/>
      <c r="N363" s="2"/>
      <c r="O363" s="2"/>
      <c r="P363" s="2"/>
      <c r="Q363" s="2"/>
      <c r="R363" s="2"/>
      <c r="S363" s="4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ht="15.75" customHeight="1">
      <c r="A364" s="2"/>
      <c r="B364" s="2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2"/>
      <c r="N364" s="2"/>
      <c r="O364" s="2"/>
      <c r="P364" s="2"/>
      <c r="Q364" s="2"/>
      <c r="R364" s="2"/>
      <c r="S364" s="4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ht="15.75" customHeight="1">
      <c r="A365" s="2"/>
      <c r="B365" s="2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2"/>
      <c r="N365" s="2"/>
      <c r="O365" s="2"/>
      <c r="P365" s="2"/>
      <c r="Q365" s="2"/>
      <c r="R365" s="2"/>
      <c r="S365" s="4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ht="15.75" customHeight="1">
      <c r="A366" s="2"/>
      <c r="B366" s="2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2"/>
      <c r="N366" s="2"/>
      <c r="O366" s="2"/>
      <c r="P366" s="2"/>
      <c r="Q366" s="2"/>
      <c r="R366" s="2"/>
      <c r="S366" s="4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ht="15.75" customHeight="1">
      <c r="A367" s="2"/>
      <c r="B367" s="2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2"/>
      <c r="N367" s="2"/>
      <c r="O367" s="2"/>
      <c r="P367" s="2"/>
      <c r="Q367" s="2"/>
      <c r="R367" s="2"/>
      <c r="S367" s="4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ht="15.75" customHeight="1">
      <c r="A368" s="2"/>
      <c r="B368" s="2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2"/>
      <c r="N368" s="2"/>
      <c r="O368" s="2"/>
      <c r="P368" s="2"/>
      <c r="Q368" s="2"/>
      <c r="R368" s="2"/>
      <c r="S368" s="4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ht="15.75" customHeight="1">
      <c r="A369" s="2"/>
      <c r="B369" s="2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2"/>
      <c r="N369" s="2"/>
      <c r="O369" s="2"/>
      <c r="P369" s="2"/>
      <c r="Q369" s="2"/>
      <c r="R369" s="2"/>
      <c r="S369" s="4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ht="15.75" customHeight="1">
      <c r="A370" s="2"/>
      <c r="B370" s="2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2"/>
      <c r="N370" s="2"/>
      <c r="O370" s="2"/>
      <c r="P370" s="2"/>
      <c r="Q370" s="2"/>
      <c r="R370" s="2"/>
      <c r="S370" s="4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ht="15.75" customHeight="1">
      <c r="A371" s="2"/>
      <c r="B371" s="2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2"/>
      <c r="N371" s="2"/>
      <c r="O371" s="2"/>
      <c r="P371" s="2"/>
      <c r="Q371" s="2"/>
      <c r="R371" s="2"/>
      <c r="S371" s="4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ht="15.75" customHeight="1">
      <c r="A372" s="2"/>
      <c r="B372" s="2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2"/>
      <c r="N372" s="2"/>
      <c r="O372" s="2"/>
      <c r="P372" s="2"/>
      <c r="Q372" s="2"/>
      <c r="R372" s="2"/>
      <c r="S372" s="4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ht="15.75" customHeight="1">
      <c r="A373" s="2"/>
      <c r="B373" s="2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2"/>
      <c r="N373" s="2"/>
      <c r="O373" s="2"/>
      <c r="P373" s="2"/>
      <c r="Q373" s="2"/>
      <c r="R373" s="2"/>
      <c r="S373" s="4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ht="15.75" customHeight="1">
      <c r="A374" s="2"/>
      <c r="B374" s="2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2"/>
      <c r="N374" s="2"/>
      <c r="O374" s="2"/>
      <c r="P374" s="2"/>
      <c r="Q374" s="2"/>
      <c r="R374" s="2"/>
      <c r="S374" s="4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ht="15.75" customHeight="1">
      <c r="A375" s="2"/>
      <c r="B375" s="2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2"/>
      <c r="N375" s="2"/>
      <c r="O375" s="2"/>
      <c r="P375" s="2"/>
      <c r="Q375" s="2"/>
      <c r="R375" s="2"/>
      <c r="S375" s="4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ht="15.75" customHeight="1">
      <c r="A376" s="2"/>
      <c r="B376" s="2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2"/>
      <c r="N376" s="2"/>
      <c r="O376" s="2"/>
      <c r="P376" s="2"/>
      <c r="Q376" s="2"/>
      <c r="R376" s="2"/>
      <c r="S376" s="4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ht="15.75" customHeight="1">
      <c r="A377" s="2"/>
      <c r="B377" s="2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2"/>
      <c r="N377" s="2"/>
      <c r="O377" s="2"/>
      <c r="P377" s="2"/>
      <c r="Q377" s="2"/>
      <c r="R377" s="2"/>
      <c r="S377" s="4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ht="15.75" customHeight="1">
      <c r="A378" s="2"/>
      <c r="B378" s="2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2"/>
      <c r="N378" s="2"/>
      <c r="O378" s="2"/>
      <c r="P378" s="2"/>
      <c r="Q378" s="2"/>
      <c r="R378" s="2"/>
      <c r="S378" s="4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ht="15.75" customHeight="1">
      <c r="A379" s="2"/>
      <c r="B379" s="2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2"/>
      <c r="N379" s="2"/>
      <c r="O379" s="2"/>
      <c r="P379" s="2"/>
      <c r="Q379" s="2"/>
      <c r="R379" s="2"/>
      <c r="S379" s="4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ht="15.75" customHeight="1">
      <c r="A380" s="2"/>
      <c r="B380" s="2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2"/>
      <c r="N380" s="2"/>
      <c r="O380" s="2"/>
      <c r="P380" s="2"/>
      <c r="Q380" s="2"/>
      <c r="R380" s="2"/>
      <c r="S380" s="4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ht="15.75" customHeight="1">
      <c r="A381" s="2"/>
      <c r="B381" s="2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2"/>
      <c r="N381" s="2"/>
      <c r="O381" s="2"/>
      <c r="P381" s="2"/>
      <c r="Q381" s="2"/>
      <c r="R381" s="2"/>
      <c r="S381" s="4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ht="15.75" customHeight="1">
      <c r="A382" s="2"/>
      <c r="B382" s="2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2"/>
      <c r="N382" s="2"/>
      <c r="O382" s="2"/>
      <c r="P382" s="2"/>
      <c r="Q382" s="2"/>
      <c r="R382" s="2"/>
      <c r="S382" s="4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ht="15.75" customHeight="1">
      <c r="A383" s="2"/>
      <c r="B383" s="2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2"/>
      <c r="N383" s="2"/>
      <c r="O383" s="2"/>
      <c r="P383" s="2"/>
      <c r="Q383" s="2"/>
      <c r="R383" s="2"/>
      <c r="S383" s="4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ht="15.75" customHeight="1">
      <c r="A384" s="2"/>
      <c r="B384" s="2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2"/>
      <c r="N384" s="2"/>
      <c r="O384" s="2"/>
      <c r="P384" s="2"/>
      <c r="Q384" s="2"/>
      <c r="R384" s="2"/>
      <c r="S384" s="4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ht="15.75" customHeight="1">
      <c r="A385" s="2"/>
      <c r="B385" s="2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2"/>
      <c r="N385" s="2"/>
      <c r="O385" s="2"/>
      <c r="P385" s="2"/>
      <c r="Q385" s="2"/>
      <c r="R385" s="2"/>
      <c r="S385" s="4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ht="15.75" customHeight="1">
      <c r="A386" s="2"/>
      <c r="B386" s="2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2"/>
      <c r="N386" s="2"/>
      <c r="O386" s="2"/>
      <c r="P386" s="2"/>
      <c r="Q386" s="2"/>
      <c r="R386" s="2"/>
      <c r="S386" s="4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ht="15.75" customHeight="1">
      <c r="A387" s="2"/>
      <c r="B387" s="2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2"/>
      <c r="N387" s="2"/>
      <c r="O387" s="2"/>
      <c r="P387" s="2"/>
      <c r="Q387" s="2"/>
      <c r="R387" s="2"/>
      <c r="S387" s="4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ht="15.75" customHeight="1">
      <c r="A388" s="2"/>
      <c r="B388" s="2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2"/>
      <c r="N388" s="2"/>
      <c r="O388" s="2"/>
      <c r="P388" s="2"/>
      <c r="Q388" s="2"/>
      <c r="R388" s="2"/>
      <c r="S388" s="4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ht="15.75" customHeight="1">
      <c r="A389" s="2"/>
      <c r="B389" s="2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2"/>
      <c r="N389" s="2"/>
      <c r="O389" s="2"/>
      <c r="P389" s="2"/>
      <c r="Q389" s="2"/>
      <c r="R389" s="2"/>
      <c r="S389" s="4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ht="15.75" customHeight="1">
      <c r="A390" s="2"/>
      <c r="B390" s="2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2"/>
      <c r="N390" s="2"/>
      <c r="O390" s="2"/>
      <c r="P390" s="2"/>
      <c r="Q390" s="2"/>
      <c r="R390" s="2"/>
      <c r="S390" s="4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ht="15.75" customHeight="1">
      <c r="A391" s="2"/>
      <c r="B391" s="2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2"/>
      <c r="N391" s="2"/>
      <c r="O391" s="2"/>
      <c r="P391" s="2"/>
      <c r="Q391" s="2"/>
      <c r="R391" s="2"/>
      <c r="S391" s="4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ht="15.75" customHeight="1">
      <c r="A392" s="2"/>
      <c r="B392" s="2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2"/>
      <c r="N392" s="2"/>
      <c r="O392" s="2"/>
      <c r="P392" s="2"/>
      <c r="Q392" s="2"/>
      <c r="R392" s="2"/>
      <c r="S392" s="4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ht="15.75" customHeight="1">
      <c r="A393" s="2"/>
      <c r="B393" s="2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2"/>
      <c r="N393" s="2"/>
      <c r="O393" s="2"/>
      <c r="P393" s="2"/>
      <c r="Q393" s="2"/>
      <c r="R393" s="2"/>
      <c r="S393" s="4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ht="15.75" customHeight="1">
      <c r="A394" s="2"/>
      <c r="B394" s="2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2"/>
      <c r="N394" s="2"/>
      <c r="O394" s="2"/>
      <c r="P394" s="2"/>
      <c r="Q394" s="2"/>
      <c r="R394" s="2"/>
      <c r="S394" s="4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ht="15.75" customHeight="1">
      <c r="A395" s="2"/>
      <c r="B395" s="2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2"/>
      <c r="N395" s="2"/>
      <c r="O395" s="2"/>
      <c r="P395" s="2"/>
      <c r="Q395" s="2"/>
      <c r="R395" s="2"/>
      <c r="S395" s="4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ht="15.75" customHeight="1">
      <c r="A396" s="2"/>
      <c r="B396" s="2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2"/>
      <c r="N396" s="2"/>
      <c r="O396" s="2"/>
      <c r="P396" s="2"/>
      <c r="Q396" s="2"/>
      <c r="R396" s="2"/>
      <c r="S396" s="4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ht="15.75" customHeight="1">
      <c r="A397" s="2"/>
      <c r="B397" s="2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2"/>
      <c r="N397" s="2"/>
      <c r="O397" s="2"/>
      <c r="P397" s="2"/>
      <c r="Q397" s="2"/>
      <c r="R397" s="2"/>
      <c r="S397" s="4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ht="15.75" customHeight="1">
      <c r="A398" s="2"/>
      <c r="B398" s="2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2"/>
      <c r="N398" s="2"/>
      <c r="O398" s="2"/>
      <c r="P398" s="2"/>
      <c r="Q398" s="2"/>
      <c r="R398" s="2"/>
      <c r="S398" s="4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ht="15.75" customHeight="1">
      <c r="A399" s="2"/>
      <c r="B399" s="2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2"/>
      <c r="N399" s="2"/>
      <c r="O399" s="2"/>
      <c r="P399" s="2"/>
      <c r="Q399" s="2"/>
      <c r="R399" s="2"/>
      <c r="S399" s="4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ht="15.75" customHeight="1">
      <c r="A400" s="2"/>
      <c r="B400" s="2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2"/>
      <c r="N400" s="2"/>
      <c r="O400" s="2"/>
      <c r="P400" s="2"/>
      <c r="Q400" s="2"/>
      <c r="R400" s="2"/>
      <c r="S400" s="4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ht="15.75" customHeight="1">
      <c r="A401" s="2"/>
      <c r="B401" s="2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2"/>
      <c r="N401" s="2"/>
      <c r="O401" s="2"/>
      <c r="P401" s="2"/>
      <c r="Q401" s="2"/>
      <c r="R401" s="2"/>
      <c r="S401" s="4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ht="15.75" customHeight="1">
      <c r="A402" s="2"/>
      <c r="B402" s="2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2"/>
      <c r="N402" s="2"/>
      <c r="O402" s="2"/>
      <c r="P402" s="2"/>
      <c r="Q402" s="2"/>
      <c r="R402" s="2"/>
      <c r="S402" s="4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ht="15.75" customHeight="1">
      <c r="A403" s="2"/>
      <c r="B403" s="2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2"/>
      <c r="N403" s="2"/>
      <c r="O403" s="2"/>
      <c r="P403" s="2"/>
      <c r="Q403" s="2"/>
      <c r="R403" s="2"/>
      <c r="S403" s="4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ht="15.75" customHeight="1">
      <c r="A404" s="2"/>
      <c r="B404" s="2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2"/>
      <c r="N404" s="2"/>
      <c r="O404" s="2"/>
      <c r="P404" s="2"/>
      <c r="Q404" s="2"/>
      <c r="R404" s="2"/>
      <c r="S404" s="4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ht="15.75" customHeight="1">
      <c r="A405" s="2"/>
      <c r="B405" s="2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2"/>
      <c r="N405" s="2"/>
      <c r="O405" s="2"/>
      <c r="P405" s="2"/>
      <c r="Q405" s="2"/>
      <c r="R405" s="2"/>
      <c r="S405" s="4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ht="15.75" customHeight="1">
      <c r="A406" s="2"/>
      <c r="B406" s="2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2"/>
      <c r="N406" s="2"/>
      <c r="O406" s="2"/>
      <c r="P406" s="2"/>
      <c r="Q406" s="2"/>
      <c r="R406" s="2"/>
      <c r="S406" s="4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ht="15.75" customHeight="1">
      <c r="A407" s="2"/>
      <c r="B407" s="2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2"/>
      <c r="N407" s="2"/>
      <c r="O407" s="2"/>
      <c r="P407" s="2"/>
      <c r="Q407" s="2"/>
      <c r="R407" s="2"/>
      <c r="S407" s="4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ht="15.75" customHeight="1">
      <c r="A408" s="2"/>
      <c r="B408" s="2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2"/>
      <c r="N408" s="2"/>
      <c r="O408" s="2"/>
      <c r="P408" s="2"/>
      <c r="Q408" s="2"/>
      <c r="R408" s="2"/>
      <c r="S408" s="4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ht="15.75" customHeight="1">
      <c r="A409" s="2"/>
      <c r="B409" s="2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2"/>
      <c r="N409" s="2"/>
      <c r="O409" s="2"/>
      <c r="P409" s="2"/>
      <c r="Q409" s="2"/>
      <c r="R409" s="2"/>
      <c r="S409" s="4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ht="15.75" customHeight="1">
      <c r="A410" s="2"/>
      <c r="B410" s="2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2"/>
      <c r="N410" s="2"/>
      <c r="O410" s="2"/>
      <c r="P410" s="2"/>
      <c r="Q410" s="2"/>
      <c r="R410" s="2"/>
      <c r="S410" s="4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ht="15.75" customHeight="1">
      <c r="A411" s="2"/>
      <c r="B411" s="2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2"/>
      <c r="N411" s="2"/>
      <c r="O411" s="2"/>
      <c r="P411" s="2"/>
      <c r="Q411" s="2"/>
      <c r="R411" s="2"/>
      <c r="S411" s="4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ht="15.75" customHeight="1">
      <c r="A412" s="2"/>
      <c r="B412" s="2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2"/>
      <c r="N412" s="2"/>
      <c r="O412" s="2"/>
      <c r="P412" s="2"/>
      <c r="Q412" s="2"/>
      <c r="R412" s="2"/>
      <c r="S412" s="4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ht="15.75" customHeight="1">
      <c r="A413" s="2"/>
      <c r="B413" s="2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2"/>
      <c r="N413" s="2"/>
      <c r="O413" s="2"/>
      <c r="P413" s="2"/>
      <c r="Q413" s="2"/>
      <c r="R413" s="2"/>
      <c r="S413" s="4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ht="15.75" customHeight="1">
      <c r="A414" s="2"/>
      <c r="B414" s="2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2"/>
      <c r="N414" s="2"/>
      <c r="O414" s="2"/>
      <c r="P414" s="2"/>
      <c r="Q414" s="2"/>
      <c r="R414" s="2"/>
      <c r="S414" s="4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ht="15.75" customHeight="1">
      <c r="A415" s="2"/>
      <c r="B415" s="2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2"/>
      <c r="N415" s="2"/>
      <c r="O415" s="2"/>
      <c r="P415" s="2"/>
      <c r="Q415" s="2"/>
      <c r="R415" s="2"/>
      <c r="S415" s="4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ht="15.75" customHeight="1">
      <c r="A416" s="2"/>
      <c r="B416" s="2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2"/>
      <c r="N416" s="2"/>
      <c r="O416" s="2"/>
      <c r="P416" s="2"/>
      <c r="Q416" s="2"/>
      <c r="R416" s="2"/>
      <c r="S416" s="4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ht="15.75" customHeight="1">
      <c r="A417" s="2"/>
      <c r="B417" s="2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2"/>
      <c r="N417" s="2"/>
      <c r="O417" s="2"/>
      <c r="P417" s="2"/>
      <c r="Q417" s="2"/>
      <c r="R417" s="2"/>
      <c r="S417" s="4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ht="15.75" customHeight="1">
      <c r="A418" s="2"/>
      <c r="B418" s="2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2"/>
      <c r="N418" s="2"/>
      <c r="O418" s="2"/>
      <c r="P418" s="2"/>
      <c r="Q418" s="2"/>
      <c r="R418" s="2"/>
      <c r="S418" s="4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ht="15.75" customHeight="1">
      <c r="A419" s="2"/>
      <c r="B419" s="2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2"/>
      <c r="N419" s="2"/>
      <c r="O419" s="2"/>
      <c r="P419" s="2"/>
      <c r="Q419" s="2"/>
      <c r="R419" s="2"/>
      <c r="S419" s="4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ht="15.75" customHeight="1">
      <c r="A420" s="2"/>
      <c r="B420" s="2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2"/>
      <c r="N420" s="2"/>
      <c r="O420" s="2"/>
      <c r="P420" s="2"/>
      <c r="Q420" s="2"/>
      <c r="R420" s="2"/>
      <c r="S420" s="4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ht="15.75" customHeight="1">
      <c r="A421" s="2"/>
      <c r="B421" s="2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2"/>
      <c r="N421" s="2"/>
      <c r="O421" s="2"/>
      <c r="P421" s="2"/>
      <c r="Q421" s="2"/>
      <c r="R421" s="2"/>
      <c r="S421" s="4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ht="15.75" customHeight="1">
      <c r="A422" s="2"/>
      <c r="B422" s="2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2"/>
      <c r="N422" s="2"/>
      <c r="O422" s="2"/>
      <c r="P422" s="2"/>
      <c r="Q422" s="2"/>
      <c r="R422" s="2"/>
      <c r="S422" s="4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ht="15.75" customHeight="1">
      <c r="A423" s="2"/>
      <c r="B423" s="2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2"/>
      <c r="N423" s="2"/>
      <c r="O423" s="2"/>
      <c r="P423" s="2"/>
      <c r="Q423" s="2"/>
      <c r="R423" s="2"/>
      <c r="S423" s="4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ht="15.75" customHeight="1">
      <c r="A424" s="2"/>
      <c r="B424" s="2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2"/>
      <c r="N424" s="2"/>
      <c r="O424" s="2"/>
      <c r="P424" s="2"/>
      <c r="Q424" s="2"/>
      <c r="R424" s="2"/>
      <c r="S424" s="4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15.75" customHeight="1">
      <c r="A425" s="2"/>
      <c r="B425" s="2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2"/>
      <c r="N425" s="2"/>
      <c r="O425" s="2"/>
      <c r="P425" s="2"/>
      <c r="Q425" s="2"/>
      <c r="R425" s="2"/>
      <c r="S425" s="4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ht="15.75" customHeight="1">
      <c r="A426" s="2"/>
      <c r="B426" s="2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2"/>
      <c r="N426" s="2"/>
      <c r="O426" s="2"/>
      <c r="P426" s="2"/>
      <c r="Q426" s="2"/>
      <c r="R426" s="2"/>
      <c r="S426" s="4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ht="15.75" customHeight="1">
      <c r="A427" s="2"/>
      <c r="B427" s="2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2"/>
      <c r="N427" s="2"/>
      <c r="O427" s="2"/>
      <c r="P427" s="2"/>
      <c r="Q427" s="2"/>
      <c r="R427" s="2"/>
      <c r="S427" s="4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ht="15.75" customHeight="1">
      <c r="A428" s="2"/>
      <c r="B428" s="2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2"/>
      <c r="N428" s="2"/>
      <c r="O428" s="2"/>
      <c r="P428" s="2"/>
      <c r="Q428" s="2"/>
      <c r="R428" s="2"/>
      <c r="S428" s="4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ht="15.75" customHeight="1">
      <c r="A429" s="2"/>
      <c r="B429" s="2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2"/>
      <c r="N429" s="2"/>
      <c r="O429" s="2"/>
      <c r="P429" s="2"/>
      <c r="Q429" s="2"/>
      <c r="R429" s="2"/>
      <c r="S429" s="4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ht="15.75" customHeight="1">
      <c r="A430" s="2"/>
      <c r="B430" s="2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2"/>
      <c r="N430" s="2"/>
      <c r="O430" s="2"/>
      <c r="P430" s="2"/>
      <c r="Q430" s="2"/>
      <c r="R430" s="2"/>
      <c r="S430" s="4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ht="15.75" customHeight="1">
      <c r="A431" s="2"/>
      <c r="B431" s="2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2"/>
      <c r="N431" s="2"/>
      <c r="O431" s="2"/>
      <c r="P431" s="2"/>
      <c r="Q431" s="2"/>
      <c r="R431" s="2"/>
      <c r="S431" s="4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ht="15.75" customHeight="1">
      <c r="A432" s="2"/>
      <c r="B432" s="2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2"/>
      <c r="N432" s="2"/>
      <c r="O432" s="2"/>
      <c r="P432" s="2"/>
      <c r="Q432" s="2"/>
      <c r="R432" s="2"/>
      <c r="S432" s="4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ht="15.75" customHeight="1">
      <c r="A433" s="2"/>
      <c r="B433" s="2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2"/>
      <c r="N433" s="2"/>
      <c r="O433" s="2"/>
      <c r="P433" s="2"/>
      <c r="Q433" s="2"/>
      <c r="R433" s="2"/>
      <c r="S433" s="4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ht="15.75" customHeight="1">
      <c r="A434" s="2"/>
      <c r="B434" s="2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2"/>
      <c r="N434" s="2"/>
      <c r="O434" s="2"/>
      <c r="P434" s="2"/>
      <c r="Q434" s="2"/>
      <c r="R434" s="2"/>
      <c r="S434" s="4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ht="15.75" customHeight="1">
      <c r="A435" s="2"/>
      <c r="B435" s="2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2"/>
      <c r="N435" s="2"/>
      <c r="O435" s="2"/>
      <c r="P435" s="2"/>
      <c r="Q435" s="2"/>
      <c r="R435" s="2"/>
      <c r="S435" s="4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ht="15.75" customHeight="1">
      <c r="A436" s="2"/>
      <c r="B436" s="2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2"/>
      <c r="N436" s="2"/>
      <c r="O436" s="2"/>
      <c r="P436" s="2"/>
      <c r="Q436" s="2"/>
      <c r="R436" s="2"/>
      <c r="S436" s="4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15.75" customHeight="1">
      <c r="A437" s="2"/>
      <c r="B437" s="2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2"/>
      <c r="N437" s="2"/>
      <c r="O437" s="2"/>
      <c r="P437" s="2"/>
      <c r="Q437" s="2"/>
      <c r="R437" s="2"/>
      <c r="S437" s="4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15.75" customHeight="1">
      <c r="A438" s="2"/>
      <c r="B438" s="2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2"/>
      <c r="N438" s="2"/>
      <c r="O438" s="2"/>
      <c r="P438" s="2"/>
      <c r="Q438" s="2"/>
      <c r="R438" s="2"/>
      <c r="S438" s="4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ht="15.75" customHeight="1">
      <c r="A439" s="2"/>
      <c r="B439" s="2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2"/>
      <c r="N439" s="2"/>
      <c r="O439" s="2"/>
      <c r="P439" s="2"/>
      <c r="Q439" s="2"/>
      <c r="R439" s="2"/>
      <c r="S439" s="4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ht="15.75" customHeight="1">
      <c r="A440" s="2"/>
      <c r="B440" s="2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2"/>
      <c r="N440" s="2"/>
      <c r="O440" s="2"/>
      <c r="P440" s="2"/>
      <c r="Q440" s="2"/>
      <c r="R440" s="2"/>
      <c r="S440" s="4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ht="15.75" customHeight="1">
      <c r="A441" s="2"/>
      <c r="B441" s="2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2"/>
      <c r="N441" s="2"/>
      <c r="O441" s="2"/>
      <c r="P441" s="2"/>
      <c r="Q441" s="2"/>
      <c r="R441" s="2"/>
      <c r="S441" s="4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15.75" customHeight="1">
      <c r="A442" s="2"/>
      <c r="B442" s="2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2"/>
      <c r="N442" s="2"/>
      <c r="O442" s="2"/>
      <c r="P442" s="2"/>
      <c r="Q442" s="2"/>
      <c r="R442" s="2"/>
      <c r="S442" s="4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ht="15.75" customHeight="1">
      <c r="A443" s="2"/>
      <c r="B443" s="2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2"/>
      <c r="N443" s="2"/>
      <c r="O443" s="2"/>
      <c r="P443" s="2"/>
      <c r="Q443" s="2"/>
      <c r="R443" s="2"/>
      <c r="S443" s="4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ht="15.75" customHeight="1">
      <c r="A444" s="2"/>
      <c r="B444" s="2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2"/>
      <c r="N444" s="2"/>
      <c r="O444" s="2"/>
      <c r="P444" s="2"/>
      <c r="Q444" s="2"/>
      <c r="R444" s="2"/>
      <c r="S444" s="4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ht="15.75" customHeight="1">
      <c r="A445" s="2"/>
      <c r="B445" s="2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2"/>
      <c r="N445" s="2"/>
      <c r="O445" s="2"/>
      <c r="P445" s="2"/>
      <c r="Q445" s="2"/>
      <c r="R445" s="2"/>
      <c r="S445" s="4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ht="15.75" customHeight="1">
      <c r="A446" s="2"/>
      <c r="B446" s="2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2"/>
      <c r="N446" s="2"/>
      <c r="O446" s="2"/>
      <c r="P446" s="2"/>
      <c r="Q446" s="2"/>
      <c r="R446" s="2"/>
      <c r="S446" s="4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ht="15.75" customHeight="1">
      <c r="A447" s="2"/>
      <c r="B447" s="2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2"/>
      <c r="N447" s="2"/>
      <c r="O447" s="2"/>
      <c r="P447" s="2"/>
      <c r="Q447" s="2"/>
      <c r="R447" s="2"/>
      <c r="S447" s="4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ht="15.75" customHeight="1">
      <c r="A448" s="2"/>
      <c r="B448" s="2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2"/>
      <c r="N448" s="2"/>
      <c r="O448" s="2"/>
      <c r="P448" s="2"/>
      <c r="Q448" s="2"/>
      <c r="R448" s="2"/>
      <c r="S448" s="4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ht="15.75" customHeight="1">
      <c r="A449" s="2"/>
      <c r="B449" s="2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2"/>
      <c r="N449" s="2"/>
      <c r="O449" s="2"/>
      <c r="P449" s="2"/>
      <c r="Q449" s="2"/>
      <c r="R449" s="2"/>
      <c r="S449" s="4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ht="15.75" customHeight="1">
      <c r="A450" s="2"/>
      <c r="B450" s="2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2"/>
      <c r="N450" s="2"/>
      <c r="O450" s="2"/>
      <c r="P450" s="2"/>
      <c r="Q450" s="2"/>
      <c r="R450" s="2"/>
      <c r="S450" s="4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ht="15.75" customHeight="1">
      <c r="A451" s="2"/>
      <c r="B451" s="2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2"/>
      <c r="N451" s="2"/>
      <c r="O451" s="2"/>
      <c r="P451" s="2"/>
      <c r="Q451" s="2"/>
      <c r="R451" s="2"/>
      <c r="S451" s="4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ht="15.75" customHeight="1">
      <c r="A452" s="2"/>
      <c r="B452" s="2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2"/>
      <c r="N452" s="2"/>
      <c r="O452" s="2"/>
      <c r="P452" s="2"/>
      <c r="Q452" s="2"/>
      <c r="R452" s="2"/>
      <c r="S452" s="4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ht="15.75" customHeight="1">
      <c r="A453" s="2"/>
      <c r="B453" s="2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2"/>
      <c r="N453" s="2"/>
      <c r="O453" s="2"/>
      <c r="P453" s="2"/>
      <c r="Q453" s="2"/>
      <c r="R453" s="2"/>
      <c r="S453" s="4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ht="15.75" customHeight="1">
      <c r="A454" s="2"/>
      <c r="B454" s="2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2"/>
      <c r="N454" s="2"/>
      <c r="O454" s="2"/>
      <c r="P454" s="2"/>
      <c r="Q454" s="2"/>
      <c r="R454" s="2"/>
      <c r="S454" s="4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ht="15.75" customHeight="1">
      <c r="A455" s="2"/>
      <c r="B455" s="2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2"/>
      <c r="N455" s="2"/>
      <c r="O455" s="2"/>
      <c r="P455" s="2"/>
      <c r="Q455" s="2"/>
      <c r="R455" s="2"/>
      <c r="S455" s="4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ht="15.75" customHeight="1">
      <c r="A456" s="2"/>
      <c r="B456" s="2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2"/>
      <c r="N456" s="2"/>
      <c r="O456" s="2"/>
      <c r="P456" s="2"/>
      <c r="Q456" s="2"/>
      <c r="R456" s="2"/>
      <c r="S456" s="4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ht="15.75" customHeight="1">
      <c r="A457" s="2"/>
      <c r="B457" s="2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2"/>
      <c r="N457" s="2"/>
      <c r="O457" s="2"/>
      <c r="P457" s="2"/>
      <c r="Q457" s="2"/>
      <c r="R457" s="2"/>
      <c r="S457" s="4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ht="15.75" customHeight="1">
      <c r="A458" s="2"/>
      <c r="B458" s="2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2"/>
      <c r="N458" s="2"/>
      <c r="O458" s="2"/>
      <c r="P458" s="2"/>
      <c r="Q458" s="2"/>
      <c r="R458" s="2"/>
      <c r="S458" s="4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ht="15.75" customHeight="1">
      <c r="A459" s="2"/>
      <c r="B459" s="2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2"/>
      <c r="N459" s="2"/>
      <c r="O459" s="2"/>
      <c r="P459" s="2"/>
      <c r="Q459" s="2"/>
      <c r="R459" s="2"/>
      <c r="S459" s="4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ht="15.75" customHeight="1">
      <c r="A460" s="2"/>
      <c r="B460" s="2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2"/>
      <c r="N460" s="2"/>
      <c r="O460" s="2"/>
      <c r="P460" s="2"/>
      <c r="Q460" s="2"/>
      <c r="R460" s="2"/>
      <c r="S460" s="4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15.75" customHeight="1">
      <c r="A461" s="2"/>
      <c r="B461" s="2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2"/>
      <c r="N461" s="2"/>
      <c r="O461" s="2"/>
      <c r="P461" s="2"/>
      <c r="Q461" s="2"/>
      <c r="R461" s="2"/>
      <c r="S461" s="4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ht="15.75" customHeight="1">
      <c r="A462" s="2"/>
      <c r="B462" s="2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2"/>
      <c r="N462" s="2"/>
      <c r="O462" s="2"/>
      <c r="P462" s="2"/>
      <c r="Q462" s="2"/>
      <c r="R462" s="2"/>
      <c r="S462" s="4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ht="15.75" customHeight="1">
      <c r="A463" s="2"/>
      <c r="B463" s="2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2"/>
      <c r="N463" s="2"/>
      <c r="O463" s="2"/>
      <c r="P463" s="2"/>
      <c r="Q463" s="2"/>
      <c r="R463" s="2"/>
      <c r="S463" s="4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ht="15.75" customHeight="1">
      <c r="A464" s="2"/>
      <c r="B464" s="2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2"/>
      <c r="N464" s="2"/>
      <c r="O464" s="2"/>
      <c r="P464" s="2"/>
      <c r="Q464" s="2"/>
      <c r="R464" s="2"/>
      <c r="S464" s="4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ht="15.75" customHeight="1">
      <c r="A465" s="2"/>
      <c r="B465" s="2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2"/>
      <c r="N465" s="2"/>
      <c r="O465" s="2"/>
      <c r="P465" s="2"/>
      <c r="Q465" s="2"/>
      <c r="R465" s="2"/>
      <c r="S465" s="4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ht="15.75" customHeight="1">
      <c r="A466" s="2"/>
      <c r="B466" s="2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2"/>
      <c r="N466" s="2"/>
      <c r="O466" s="2"/>
      <c r="P466" s="2"/>
      <c r="Q466" s="2"/>
      <c r="R466" s="2"/>
      <c r="S466" s="4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ht="15.75" customHeight="1">
      <c r="A467" s="2"/>
      <c r="B467" s="2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2"/>
      <c r="N467" s="2"/>
      <c r="O467" s="2"/>
      <c r="P467" s="2"/>
      <c r="Q467" s="2"/>
      <c r="R467" s="2"/>
      <c r="S467" s="4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ht="15.75" customHeight="1">
      <c r="A468" s="2"/>
      <c r="B468" s="2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2"/>
      <c r="N468" s="2"/>
      <c r="O468" s="2"/>
      <c r="P468" s="2"/>
      <c r="Q468" s="2"/>
      <c r="R468" s="2"/>
      <c r="S468" s="4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ht="15.75" customHeight="1">
      <c r="A469" s="2"/>
      <c r="B469" s="2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2"/>
      <c r="N469" s="2"/>
      <c r="O469" s="2"/>
      <c r="P469" s="2"/>
      <c r="Q469" s="2"/>
      <c r="R469" s="2"/>
      <c r="S469" s="4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ht="15.75" customHeight="1">
      <c r="A470" s="2"/>
      <c r="B470" s="2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2"/>
      <c r="N470" s="2"/>
      <c r="O470" s="2"/>
      <c r="P470" s="2"/>
      <c r="Q470" s="2"/>
      <c r="R470" s="2"/>
      <c r="S470" s="4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ht="15.75" customHeight="1">
      <c r="A471" s="2"/>
      <c r="B471" s="2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2"/>
      <c r="N471" s="2"/>
      <c r="O471" s="2"/>
      <c r="P471" s="2"/>
      <c r="Q471" s="2"/>
      <c r="R471" s="2"/>
      <c r="S471" s="4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ht="15.75" customHeight="1">
      <c r="A472" s="2"/>
      <c r="B472" s="2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2"/>
      <c r="N472" s="2"/>
      <c r="O472" s="2"/>
      <c r="P472" s="2"/>
      <c r="Q472" s="2"/>
      <c r="R472" s="2"/>
      <c r="S472" s="4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ht="15.75" customHeight="1">
      <c r="A473" s="2"/>
      <c r="B473" s="2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2"/>
      <c r="N473" s="2"/>
      <c r="O473" s="2"/>
      <c r="P473" s="2"/>
      <c r="Q473" s="2"/>
      <c r="R473" s="2"/>
      <c r="S473" s="4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ht="15.75" customHeight="1">
      <c r="A474" s="2"/>
      <c r="B474" s="2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2"/>
      <c r="N474" s="2"/>
      <c r="O474" s="2"/>
      <c r="P474" s="2"/>
      <c r="Q474" s="2"/>
      <c r="R474" s="2"/>
      <c r="S474" s="4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15.75" customHeight="1">
      <c r="A475" s="2"/>
      <c r="B475" s="2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2"/>
      <c r="N475" s="2"/>
      <c r="O475" s="2"/>
      <c r="P475" s="2"/>
      <c r="Q475" s="2"/>
      <c r="R475" s="2"/>
      <c r="S475" s="4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ht="15.75" customHeight="1">
      <c r="A476" s="2"/>
      <c r="B476" s="2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2"/>
      <c r="N476" s="2"/>
      <c r="O476" s="2"/>
      <c r="P476" s="2"/>
      <c r="Q476" s="2"/>
      <c r="R476" s="2"/>
      <c r="S476" s="4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ht="15.75" customHeight="1">
      <c r="A477" s="2"/>
      <c r="B477" s="2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2"/>
      <c r="N477" s="2"/>
      <c r="O477" s="2"/>
      <c r="P477" s="2"/>
      <c r="Q477" s="2"/>
      <c r="R477" s="2"/>
      <c r="S477" s="4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ht="15.75" customHeight="1">
      <c r="A478" s="2"/>
      <c r="B478" s="2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2"/>
      <c r="N478" s="2"/>
      <c r="O478" s="2"/>
      <c r="P478" s="2"/>
      <c r="Q478" s="2"/>
      <c r="R478" s="2"/>
      <c r="S478" s="4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ht="15.75" customHeight="1">
      <c r="A479" s="2"/>
      <c r="B479" s="2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2"/>
      <c r="N479" s="2"/>
      <c r="O479" s="2"/>
      <c r="P479" s="2"/>
      <c r="Q479" s="2"/>
      <c r="R479" s="2"/>
      <c r="S479" s="4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15.75" customHeight="1">
      <c r="A480" s="2"/>
      <c r="B480" s="2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2"/>
      <c r="N480" s="2"/>
      <c r="O480" s="2"/>
      <c r="P480" s="2"/>
      <c r="Q480" s="2"/>
      <c r="R480" s="2"/>
      <c r="S480" s="4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ht="15.75" customHeight="1">
      <c r="A481" s="2"/>
      <c r="B481" s="2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2"/>
      <c r="N481" s="2"/>
      <c r="O481" s="2"/>
      <c r="P481" s="2"/>
      <c r="Q481" s="2"/>
      <c r="R481" s="2"/>
      <c r="S481" s="4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ht="15.75" customHeight="1">
      <c r="A482" s="2"/>
      <c r="B482" s="2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2"/>
      <c r="N482" s="2"/>
      <c r="O482" s="2"/>
      <c r="P482" s="2"/>
      <c r="Q482" s="2"/>
      <c r="R482" s="2"/>
      <c r="S482" s="4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ht="15.75" customHeight="1">
      <c r="A483" s="2"/>
      <c r="B483" s="2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2"/>
      <c r="N483" s="2"/>
      <c r="O483" s="2"/>
      <c r="P483" s="2"/>
      <c r="Q483" s="2"/>
      <c r="R483" s="2"/>
      <c r="S483" s="4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ht="15.75" customHeight="1">
      <c r="A484" s="2"/>
      <c r="B484" s="2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2"/>
      <c r="N484" s="2"/>
      <c r="O484" s="2"/>
      <c r="P484" s="2"/>
      <c r="Q484" s="2"/>
      <c r="R484" s="2"/>
      <c r="S484" s="4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ht="15.75" customHeight="1">
      <c r="A485" s="2"/>
      <c r="B485" s="2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2"/>
      <c r="N485" s="2"/>
      <c r="O485" s="2"/>
      <c r="P485" s="2"/>
      <c r="Q485" s="2"/>
      <c r="R485" s="2"/>
      <c r="S485" s="4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ht="15.75" customHeight="1">
      <c r="A486" s="2"/>
      <c r="B486" s="2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2"/>
      <c r="N486" s="2"/>
      <c r="O486" s="2"/>
      <c r="P486" s="2"/>
      <c r="Q486" s="2"/>
      <c r="R486" s="2"/>
      <c r="S486" s="4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ht="15.75" customHeight="1">
      <c r="A487" s="2"/>
      <c r="B487" s="2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2"/>
      <c r="N487" s="2"/>
      <c r="O487" s="2"/>
      <c r="P487" s="2"/>
      <c r="Q487" s="2"/>
      <c r="R487" s="2"/>
      <c r="S487" s="4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ht="15.75" customHeight="1">
      <c r="A488" s="2"/>
      <c r="B488" s="2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2"/>
      <c r="N488" s="2"/>
      <c r="O488" s="2"/>
      <c r="P488" s="2"/>
      <c r="Q488" s="2"/>
      <c r="R488" s="2"/>
      <c r="S488" s="4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ht="15.75" customHeight="1">
      <c r="A489" s="2"/>
      <c r="B489" s="2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2"/>
      <c r="N489" s="2"/>
      <c r="O489" s="2"/>
      <c r="P489" s="2"/>
      <c r="Q489" s="2"/>
      <c r="R489" s="2"/>
      <c r="S489" s="4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ht="15.75" customHeight="1">
      <c r="A490" s="2"/>
      <c r="B490" s="2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2"/>
      <c r="N490" s="2"/>
      <c r="O490" s="2"/>
      <c r="P490" s="2"/>
      <c r="Q490" s="2"/>
      <c r="R490" s="2"/>
      <c r="S490" s="4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ht="15.75" customHeight="1">
      <c r="A491" s="2"/>
      <c r="B491" s="2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2"/>
      <c r="N491" s="2"/>
      <c r="O491" s="2"/>
      <c r="P491" s="2"/>
      <c r="Q491" s="2"/>
      <c r="R491" s="2"/>
      <c r="S491" s="4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ht="15.75" customHeight="1">
      <c r="A492" s="2"/>
      <c r="B492" s="2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2"/>
      <c r="N492" s="2"/>
      <c r="O492" s="2"/>
      <c r="P492" s="2"/>
      <c r="Q492" s="2"/>
      <c r="R492" s="2"/>
      <c r="S492" s="4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ht="15.75" customHeight="1">
      <c r="A493" s="2"/>
      <c r="B493" s="2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2"/>
      <c r="N493" s="2"/>
      <c r="O493" s="2"/>
      <c r="P493" s="2"/>
      <c r="Q493" s="2"/>
      <c r="R493" s="2"/>
      <c r="S493" s="4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ht="15.75" customHeight="1">
      <c r="A494" s="2"/>
      <c r="B494" s="2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2"/>
      <c r="N494" s="2"/>
      <c r="O494" s="2"/>
      <c r="P494" s="2"/>
      <c r="Q494" s="2"/>
      <c r="R494" s="2"/>
      <c r="S494" s="4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 ht="15.75" customHeight="1">
      <c r="A495" s="2"/>
      <c r="B495" s="2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2"/>
      <c r="N495" s="2"/>
      <c r="O495" s="2"/>
      <c r="P495" s="2"/>
      <c r="Q495" s="2"/>
      <c r="R495" s="2"/>
      <c r="S495" s="4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ht="15.75" customHeight="1">
      <c r="A496" s="2"/>
      <c r="B496" s="2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2"/>
      <c r="N496" s="2"/>
      <c r="O496" s="2"/>
      <c r="P496" s="2"/>
      <c r="Q496" s="2"/>
      <c r="R496" s="2"/>
      <c r="S496" s="4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ht="15.75" customHeight="1">
      <c r="A497" s="2"/>
      <c r="B497" s="2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2"/>
      <c r="N497" s="2"/>
      <c r="O497" s="2"/>
      <c r="P497" s="2"/>
      <c r="Q497" s="2"/>
      <c r="R497" s="2"/>
      <c r="S497" s="4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15.75" customHeight="1">
      <c r="A498" s="2"/>
      <c r="B498" s="2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2"/>
      <c r="N498" s="2"/>
      <c r="O498" s="2"/>
      <c r="P498" s="2"/>
      <c r="Q498" s="2"/>
      <c r="R498" s="2"/>
      <c r="S498" s="4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15.75" customHeight="1">
      <c r="A499" s="2"/>
      <c r="B499" s="2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2"/>
      <c r="N499" s="2"/>
      <c r="O499" s="2"/>
      <c r="P499" s="2"/>
      <c r="Q499" s="2"/>
      <c r="R499" s="2"/>
      <c r="S499" s="4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ht="15.75" customHeight="1">
      <c r="A500" s="2"/>
      <c r="B500" s="2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2"/>
      <c r="N500" s="2"/>
      <c r="O500" s="2"/>
      <c r="P500" s="2"/>
      <c r="Q500" s="2"/>
      <c r="R500" s="2"/>
      <c r="S500" s="4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ht="15.75" customHeight="1">
      <c r="A501" s="2"/>
      <c r="B501" s="2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2"/>
      <c r="N501" s="2"/>
      <c r="O501" s="2"/>
      <c r="P501" s="2"/>
      <c r="Q501" s="2"/>
      <c r="R501" s="2"/>
      <c r="S501" s="4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 ht="15.75" customHeight="1">
      <c r="A502" s="2"/>
      <c r="B502" s="2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2"/>
      <c r="N502" s="2"/>
      <c r="O502" s="2"/>
      <c r="P502" s="2"/>
      <c r="Q502" s="2"/>
      <c r="R502" s="2"/>
      <c r="S502" s="4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</row>
    <row r="503" ht="15.75" customHeight="1">
      <c r="A503" s="2"/>
      <c r="B503" s="2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2"/>
      <c r="N503" s="2"/>
      <c r="O503" s="2"/>
      <c r="P503" s="2"/>
      <c r="Q503" s="2"/>
      <c r="R503" s="2"/>
      <c r="S503" s="4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ht="15.75" customHeight="1">
      <c r="A504" s="2"/>
      <c r="B504" s="2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2"/>
      <c r="N504" s="2"/>
      <c r="O504" s="2"/>
      <c r="P504" s="2"/>
      <c r="Q504" s="2"/>
      <c r="R504" s="2"/>
      <c r="S504" s="4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 ht="15.75" customHeight="1">
      <c r="A505" s="2"/>
      <c r="B505" s="2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2"/>
      <c r="N505" s="2"/>
      <c r="O505" s="2"/>
      <c r="P505" s="2"/>
      <c r="Q505" s="2"/>
      <c r="R505" s="2"/>
      <c r="S505" s="4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15.75" customHeight="1">
      <c r="A506" s="2"/>
      <c r="B506" s="2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2"/>
      <c r="N506" s="2"/>
      <c r="O506" s="2"/>
      <c r="P506" s="2"/>
      <c r="Q506" s="2"/>
      <c r="R506" s="2"/>
      <c r="S506" s="4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ht="15.75" customHeight="1">
      <c r="A507" s="2"/>
      <c r="B507" s="2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2"/>
      <c r="N507" s="2"/>
      <c r="O507" s="2"/>
      <c r="P507" s="2"/>
      <c r="Q507" s="2"/>
      <c r="R507" s="2"/>
      <c r="S507" s="4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ht="15.75" customHeight="1">
      <c r="A508" s="2"/>
      <c r="B508" s="2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2"/>
      <c r="N508" s="2"/>
      <c r="O508" s="2"/>
      <c r="P508" s="2"/>
      <c r="Q508" s="2"/>
      <c r="R508" s="2"/>
      <c r="S508" s="4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ht="15.75" customHeight="1">
      <c r="A509" s="2"/>
      <c r="B509" s="2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2"/>
      <c r="N509" s="2"/>
      <c r="O509" s="2"/>
      <c r="P509" s="2"/>
      <c r="Q509" s="2"/>
      <c r="R509" s="2"/>
      <c r="S509" s="4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ht="15.75" customHeight="1">
      <c r="A510" s="2"/>
      <c r="B510" s="2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2"/>
      <c r="N510" s="2"/>
      <c r="O510" s="2"/>
      <c r="P510" s="2"/>
      <c r="Q510" s="2"/>
      <c r="R510" s="2"/>
      <c r="S510" s="4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ht="15.75" customHeight="1">
      <c r="A511" s="2"/>
      <c r="B511" s="2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2"/>
      <c r="N511" s="2"/>
      <c r="O511" s="2"/>
      <c r="P511" s="2"/>
      <c r="Q511" s="2"/>
      <c r="R511" s="2"/>
      <c r="S511" s="4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ht="15.75" customHeight="1">
      <c r="A512" s="2"/>
      <c r="B512" s="2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2"/>
      <c r="N512" s="2"/>
      <c r="O512" s="2"/>
      <c r="P512" s="2"/>
      <c r="Q512" s="2"/>
      <c r="R512" s="2"/>
      <c r="S512" s="4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ht="15.75" customHeight="1">
      <c r="A513" s="2"/>
      <c r="B513" s="2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2"/>
      <c r="N513" s="2"/>
      <c r="O513" s="2"/>
      <c r="P513" s="2"/>
      <c r="Q513" s="2"/>
      <c r="R513" s="2"/>
      <c r="S513" s="4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ht="15.75" customHeight="1">
      <c r="A514" s="2"/>
      <c r="B514" s="2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2"/>
      <c r="N514" s="2"/>
      <c r="O514" s="2"/>
      <c r="P514" s="2"/>
      <c r="Q514" s="2"/>
      <c r="R514" s="2"/>
      <c r="S514" s="4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ht="15.75" customHeight="1">
      <c r="A515" s="2"/>
      <c r="B515" s="2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2"/>
      <c r="N515" s="2"/>
      <c r="O515" s="2"/>
      <c r="P515" s="2"/>
      <c r="Q515" s="2"/>
      <c r="R515" s="2"/>
      <c r="S515" s="4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 ht="15.75" customHeight="1">
      <c r="A516" s="2"/>
      <c r="B516" s="2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2"/>
      <c r="N516" s="2"/>
      <c r="O516" s="2"/>
      <c r="P516" s="2"/>
      <c r="Q516" s="2"/>
      <c r="R516" s="2"/>
      <c r="S516" s="4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ht="15.75" customHeight="1">
      <c r="A517" s="2"/>
      <c r="B517" s="2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2"/>
      <c r="N517" s="2"/>
      <c r="O517" s="2"/>
      <c r="P517" s="2"/>
      <c r="Q517" s="2"/>
      <c r="R517" s="2"/>
      <c r="S517" s="4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ht="15.75" customHeight="1">
      <c r="A518" s="2"/>
      <c r="B518" s="2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2"/>
      <c r="N518" s="2"/>
      <c r="O518" s="2"/>
      <c r="P518" s="2"/>
      <c r="Q518" s="2"/>
      <c r="R518" s="2"/>
      <c r="S518" s="4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15.75" customHeight="1">
      <c r="A519" s="2"/>
      <c r="B519" s="2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2"/>
      <c r="N519" s="2"/>
      <c r="O519" s="2"/>
      <c r="P519" s="2"/>
      <c r="Q519" s="2"/>
      <c r="R519" s="2"/>
      <c r="S519" s="4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ht="15.75" customHeight="1">
      <c r="A520" s="2"/>
      <c r="B520" s="2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2"/>
      <c r="N520" s="2"/>
      <c r="O520" s="2"/>
      <c r="P520" s="2"/>
      <c r="Q520" s="2"/>
      <c r="R520" s="2"/>
      <c r="S520" s="4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ht="15.75" customHeight="1">
      <c r="A521" s="2"/>
      <c r="B521" s="2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2"/>
      <c r="N521" s="2"/>
      <c r="O521" s="2"/>
      <c r="P521" s="2"/>
      <c r="Q521" s="2"/>
      <c r="R521" s="2"/>
      <c r="S521" s="4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 ht="15.75" customHeight="1">
      <c r="A522" s="2"/>
      <c r="B522" s="2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2"/>
      <c r="N522" s="2"/>
      <c r="O522" s="2"/>
      <c r="P522" s="2"/>
      <c r="Q522" s="2"/>
      <c r="R522" s="2"/>
      <c r="S522" s="4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ht="15.75" customHeight="1">
      <c r="A523" s="2"/>
      <c r="B523" s="2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2"/>
      <c r="N523" s="2"/>
      <c r="O523" s="2"/>
      <c r="P523" s="2"/>
      <c r="Q523" s="2"/>
      <c r="R523" s="2"/>
      <c r="S523" s="4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ht="15.75" customHeight="1">
      <c r="A524" s="2"/>
      <c r="B524" s="2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2"/>
      <c r="N524" s="2"/>
      <c r="O524" s="2"/>
      <c r="P524" s="2"/>
      <c r="Q524" s="2"/>
      <c r="R524" s="2"/>
      <c r="S524" s="4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ht="15.75" customHeight="1">
      <c r="A525" s="2"/>
      <c r="B525" s="2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2"/>
      <c r="N525" s="2"/>
      <c r="O525" s="2"/>
      <c r="P525" s="2"/>
      <c r="Q525" s="2"/>
      <c r="R525" s="2"/>
      <c r="S525" s="4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ht="15.75" customHeight="1">
      <c r="A526" s="2"/>
      <c r="B526" s="2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2"/>
      <c r="N526" s="2"/>
      <c r="O526" s="2"/>
      <c r="P526" s="2"/>
      <c r="Q526" s="2"/>
      <c r="R526" s="2"/>
      <c r="S526" s="4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ht="15.75" customHeight="1">
      <c r="A527" s="2"/>
      <c r="B527" s="2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2"/>
      <c r="N527" s="2"/>
      <c r="O527" s="2"/>
      <c r="P527" s="2"/>
      <c r="Q527" s="2"/>
      <c r="R527" s="2"/>
      <c r="S527" s="4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ht="15.75" customHeight="1">
      <c r="A528" s="2"/>
      <c r="B528" s="2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2"/>
      <c r="N528" s="2"/>
      <c r="O528" s="2"/>
      <c r="P528" s="2"/>
      <c r="Q528" s="2"/>
      <c r="R528" s="2"/>
      <c r="S528" s="4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 ht="15.75" customHeight="1">
      <c r="A529" s="2"/>
      <c r="B529" s="2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2"/>
      <c r="N529" s="2"/>
      <c r="O529" s="2"/>
      <c r="P529" s="2"/>
      <c r="Q529" s="2"/>
      <c r="R529" s="2"/>
      <c r="S529" s="4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ht="15.75" customHeight="1">
      <c r="A530" s="2"/>
      <c r="B530" s="2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2"/>
      <c r="N530" s="2"/>
      <c r="O530" s="2"/>
      <c r="P530" s="2"/>
      <c r="Q530" s="2"/>
      <c r="R530" s="2"/>
      <c r="S530" s="4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ht="15.75" customHeight="1">
      <c r="A531" s="2"/>
      <c r="B531" s="2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2"/>
      <c r="N531" s="2"/>
      <c r="O531" s="2"/>
      <c r="P531" s="2"/>
      <c r="Q531" s="2"/>
      <c r="R531" s="2"/>
      <c r="S531" s="4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ht="15.75" customHeight="1">
      <c r="A532" s="2"/>
      <c r="B532" s="2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2"/>
      <c r="N532" s="2"/>
      <c r="O532" s="2"/>
      <c r="P532" s="2"/>
      <c r="Q532" s="2"/>
      <c r="R532" s="2"/>
      <c r="S532" s="4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 ht="15.75" customHeight="1">
      <c r="A533" s="2"/>
      <c r="B533" s="2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2"/>
      <c r="N533" s="2"/>
      <c r="O533" s="2"/>
      <c r="P533" s="2"/>
      <c r="Q533" s="2"/>
      <c r="R533" s="2"/>
      <c r="S533" s="4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ht="15.75" customHeight="1">
      <c r="A534" s="2"/>
      <c r="B534" s="2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2"/>
      <c r="N534" s="2"/>
      <c r="O534" s="2"/>
      <c r="P534" s="2"/>
      <c r="Q534" s="2"/>
      <c r="R534" s="2"/>
      <c r="S534" s="4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ht="15.75" customHeight="1">
      <c r="A535" s="2"/>
      <c r="B535" s="2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2"/>
      <c r="N535" s="2"/>
      <c r="O535" s="2"/>
      <c r="P535" s="2"/>
      <c r="Q535" s="2"/>
      <c r="R535" s="2"/>
      <c r="S535" s="4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ht="15.75" customHeight="1">
      <c r="A536" s="2"/>
      <c r="B536" s="2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2"/>
      <c r="N536" s="2"/>
      <c r="O536" s="2"/>
      <c r="P536" s="2"/>
      <c r="Q536" s="2"/>
      <c r="R536" s="2"/>
      <c r="S536" s="4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ht="15.75" customHeight="1">
      <c r="A537" s="2"/>
      <c r="B537" s="2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2"/>
      <c r="N537" s="2"/>
      <c r="O537" s="2"/>
      <c r="P537" s="2"/>
      <c r="Q537" s="2"/>
      <c r="R537" s="2"/>
      <c r="S537" s="4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ht="15.75" customHeight="1">
      <c r="A538" s="2"/>
      <c r="B538" s="2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2"/>
      <c r="N538" s="2"/>
      <c r="O538" s="2"/>
      <c r="P538" s="2"/>
      <c r="Q538" s="2"/>
      <c r="R538" s="2"/>
      <c r="S538" s="4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ht="15.75" customHeight="1">
      <c r="A539" s="2"/>
      <c r="B539" s="2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2"/>
      <c r="N539" s="2"/>
      <c r="O539" s="2"/>
      <c r="P539" s="2"/>
      <c r="Q539" s="2"/>
      <c r="R539" s="2"/>
      <c r="S539" s="4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ht="15.75" customHeight="1">
      <c r="A540" s="2"/>
      <c r="B540" s="2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2"/>
      <c r="N540" s="2"/>
      <c r="O540" s="2"/>
      <c r="P540" s="2"/>
      <c r="Q540" s="2"/>
      <c r="R540" s="2"/>
      <c r="S540" s="4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ht="15.75" customHeight="1">
      <c r="A541" s="2"/>
      <c r="B541" s="2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2"/>
      <c r="N541" s="2"/>
      <c r="O541" s="2"/>
      <c r="P541" s="2"/>
      <c r="Q541" s="2"/>
      <c r="R541" s="2"/>
      <c r="S541" s="4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ht="15.75" customHeight="1">
      <c r="A542" s="2"/>
      <c r="B542" s="2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2"/>
      <c r="N542" s="2"/>
      <c r="O542" s="2"/>
      <c r="P542" s="2"/>
      <c r="Q542" s="2"/>
      <c r="R542" s="2"/>
      <c r="S542" s="4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</row>
    <row r="543" ht="15.75" customHeight="1">
      <c r="A543" s="2"/>
      <c r="B543" s="2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2"/>
      <c r="N543" s="2"/>
      <c r="O543" s="2"/>
      <c r="P543" s="2"/>
      <c r="Q543" s="2"/>
      <c r="R543" s="2"/>
      <c r="S543" s="4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ht="15.75" customHeight="1">
      <c r="A544" s="2"/>
      <c r="B544" s="2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2"/>
      <c r="N544" s="2"/>
      <c r="O544" s="2"/>
      <c r="P544" s="2"/>
      <c r="Q544" s="2"/>
      <c r="R544" s="2"/>
      <c r="S544" s="4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ht="15.75" customHeight="1">
      <c r="A545" s="2"/>
      <c r="B545" s="2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2"/>
      <c r="N545" s="2"/>
      <c r="O545" s="2"/>
      <c r="P545" s="2"/>
      <c r="Q545" s="2"/>
      <c r="R545" s="2"/>
      <c r="S545" s="4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 ht="15.75" customHeight="1">
      <c r="A546" s="2"/>
      <c r="B546" s="2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2"/>
      <c r="N546" s="2"/>
      <c r="O546" s="2"/>
      <c r="P546" s="2"/>
      <c r="Q546" s="2"/>
      <c r="R546" s="2"/>
      <c r="S546" s="4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 ht="15.75" customHeight="1">
      <c r="A547" s="2"/>
      <c r="B547" s="2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2"/>
      <c r="N547" s="2"/>
      <c r="O547" s="2"/>
      <c r="P547" s="2"/>
      <c r="Q547" s="2"/>
      <c r="R547" s="2"/>
      <c r="S547" s="4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ht="15.75" customHeight="1">
      <c r="A548" s="2"/>
      <c r="B548" s="2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2"/>
      <c r="N548" s="2"/>
      <c r="O548" s="2"/>
      <c r="P548" s="2"/>
      <c r="Q548" s="2"/>
      <c r="R548" s="2"/>
      <c r="S548" s="4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 ht="15.75" customHeight="1">
      <c r="A549" s="2"/>
      <c r="B549" s="2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2"/>
      <c r="N549" s="2"/>
      <c r="O549" s="2"/>
      <c r="P549" s="2"/>
      <c r="Q549" s="2"/>
      <c r="R549" s="2"/>
      <c r="S549" s="4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 ht="15.75" customHeight="1">
      <c r="A550" s="2"/>
      <c r="B550" s="2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2"/>
      <c r="N550" s="2"/>
      <c r="O550" s="2"/>
      <c r="P550" s="2"/>
      <c r="Q550" s="2"/>
      <c r="R550" s="2"/>
      <c r="S550" s="4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ht="15.75" customHeight="1">
      <c r="A551" s="2"/>
      <c r="B551" s="2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2"/>
      <c r="N551" s="2"/>
      <c r="O551" s="2"/>
      <c r="P551" s="2"/>
      <c r="Q551" s="2"/>
      <c r="R551" s="2"/>
      <c r="S551" s="4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ht="15.75" customHeight="1">
      <c r="A552" s="2"/>
      <c r="B552" s="2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2"/>
      <c r="N552" s="2"/>
      <c r="O552" s="2"/>
      <c r="P552" s="2"/>
      <c r="Q552" s="2"/>
      <c r="R552" s="2"/>
      <c r="S552" s="4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</row>
    <row r="553" ht="15.75" customHeight="1">
      <c r="A553" s="2"/>
      <c r="B553" s="2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2"/>
      <c r="N553" s="2"/>
      <c r="O553" s="2"/>
      <c r="P553" s="2"/>
      <c r="Q553" s="2"/>
      <c r="R553" s="2"/>
      <c r="S553" s="4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</row>
    <row r="554" ht="15.75" customHeight="1">
      <c r="A554" s="2"/>
      <c r="B554" s="2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2"/>
      <c r="N554" s="2"/>
      <c r="O554" s="2"/>
      <c r="P554" s="2"/>
      <c r="Q554" s="2"/>
      <c r="R554" s="2"/>
      <c r="S554" s="4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 ht="15.75" customHeight="1">
      <c r="A555" s="2"/>
      <c r="B555" s="2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2"/>
      <c r="N555" s="2"/>
      <c r="O555" s="2"/>
      <c r="P555" s="2"/>
      <c r="Q555" s="2"/>
      <c r="R555" s="2"/>
      <c r="S555" s="4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ht="15.75" customHeight="1">
      <c r="A556" s="2"/>
      <c r="B556" s="2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2"/>
      <c r="N556" s="2"/>
      <c r="O556" s="2"/>
      <c r="P556" s="2"/>
      <c r="Q556" s="2"/>
      <c r="R556" s="2"/>
      <c r="S556" s="4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 ht="15.75" customHeight="1">
      <c r="A557" s="2"/>
      <c r="B557" s="2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2"/>
      <c r="N557" s="2"/>
      <c r="O557" s="2"/>
      <c r="P557" s="2"/>
      <c r="Q557" s="2"/>
      <c r="R557" s="2"/>
      <c r="S557" s="4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ht="15.75" customHeight="1">
      <c r="A558" s="2"/>
      <c r="B558" s="2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2"/>
      <c r="N558" s="2"/>
      <c r="O558" s="2"/>
      <c r="P558" s="2"/>
      <c r="Q558" s="2"/>
      <c r="R558" s="2"/>
      <c r="S558" s="4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ht="15.75" customHeight="1">
      <c r="A559" s="2"/>
      <c r="B559" s="2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2"/>
      <c r="N559" s="2"/>
      <c r="O559" s="2"/>
      <c r="P559" s="2"/>
      <c r="Q559" s="2"/>
      <c r="R559" s="2"/>
      <c r="S559" s="4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ht="15.75" customHeight="1">
      <c r="A560" s="2"/>
      <c r="B560" s="2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2"/>
      <c r="N560" s="2"/>
      <c r="O560" s="2"/>
      <c r="P560" s="2"/>
      <c r="Q560" s="2"/>
      <c r="R560" s="2"/>
      <c r="S560" s="4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ht="15.75" customHeight="1">
      <c r="A561" s="2"/>
      <c r="B561" s="2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2"/>
      <c r="N561" s="2"/>
      <c r="O561" s="2"/>
      <c r="P561" s="2"/>
      <c r="Q561" s="2"/>
      <c r="R561" s="2"/>
      <c r="S561" s="4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ht="15.75" customHeight="1">
      <c r="A562" s="2"/>
      <c r="B562" s="2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2"/>
      <c r="N562" s="2"/>
      <c r="O562" s="2"/>
      <c r="P562" s="2"/>
      <c r="Q562" s="2"/>
      <c r="R562" s="2"/>
      <c r="S562" s="4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ht="15.75" customHeight="1">
      <c r="A563" s="2"/>
      <c r="B563" s="2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2"/>
      <c r="N563" s="2"/>
      <c r="O563" s="2"/>
      <c r="P563" s="2"/>
      <c r="Q563" s="2"/>
      <c r="R563" s="2"/>
      <c r="S563" s="4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 ht="15.75" customHeight="1">
      <c r="A564" s="2"/>
      <c r="B564" s="2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2"/>
      <c r="N564" s="2"/>
      <c r="O564" s="2"/>
      <c r="P564" s="2"/>
      <c r="Q564" s="2"/>
      <c r="R564" s="2"/>
      <c r="S564" s="4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ht="15.75" customHeight="1">
      <c r="A565" s="2"/>
      <c r="B565" s="2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2"/>
      <c r="N565" s="2"/>
      <c r="O565" s="2"/>
      <c r="P565" s="2"/>
      <c r="Q565" s="2"/>
      <c r="R565" s="2"/>
      <c r="S565" s="4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ht="15.75" customHeight="1">
      <c r="A566" s="2"/>
      <c r="B566" s="2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2"/>
      <c r="N566" s="2"/>
      <c r="O566" s="2"/>
      <c r="P566" s="2"/>
      <c r="Q566" s="2"/>
      <c r="R566" s="2"/>
      <c r="S566" s="4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 ht="15.75" customHeight="1">
      <c r="A567" s="2"/>
      <c r="B567" s="2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2"/>
      <c r="N567" s="2"/>
      <c r="O567" s="2"/>
      <c r="P567" s="2"/>
      <c r="Q567" s="2"/>
      <c r="R567" s="2"/>
      <c r="S567" s="4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ht="15.75" customHeight="1">
      <c r="A568" s="2"/>
      <c r="B568" s="2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2"/>
      <c r="N568" s="2"/>
      <c r="O568" s="2"/>
      <c r="P568" s="2"/>
      <c r="Q568" s="2"/>
      <c r="R568" s="2"/>
      <c r="S568" s="4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ht="15.75" customHeight="1">
      <c r="A569" s="2"/>
      <c r="B569" s="2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2"/>
      <c r="N569" s="2"/>
      <c r="O569" s="2"/>
      <c r="P569" s="2"/>
      <c r="Q569" s="2"/>
      <c r="R569" s="2"/>
      <c r="S569" s="4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ht="15.75" customHeight="1">
      <c r="A570" s="2"/>
      <c r="B570" s="2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2"/>
      <c r="N570" s="2"/>
      <c r="O570" s="2"/>
      <c r="P570" s="2"/>
      <c r="Q570" s="2"/>
      <c r="R570" s="2"/>
      <c r="S570" s="4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ht="15.75" customHeight="1">
      <c r="A571" s="2"/>
      <c r="B571" s="2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2"/>
      <c r="N571" s="2"/>
      <c r="O571" s="2"/>
      <c r="P571" s="2"/>
      <c r="Q571" s="2"/>
      <c r="R571" s="2"/>
      <c r="S571" s="4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ht="15.75" customHeight="1">
      <c r="A572" s="2"/>
      <c r="B572" s="2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2"/>
      <c r="N572" s="2"/>
      <c r="O572" s="2"/>
      <c r="P572" s="2"/>
      <c r="Q572" s="2"/>
      <c r="R572" s="2"/>
      <c r="S572" s="4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ht="15.75" customHeight="1">
      <c r="A573" s="2"/>
      <c r="B573" s="2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2"/>
      <c r="N573" s="2"/>
      <c r="O573" s="2"/>
      <c r="P573" s="2"/>
      <c r="Q573" s="2"/>
      <c r="R573" s="2"/>
      <c r="S573" s="4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ht="15.75" customHeight="1">
      <c r="A574" s="2"/>
      <c r="B574" s="2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2"/>
      <c r="N574" s="2"/>
      <c r="O574" s="2"/>
      <c r="P574" s="2"/>
      <c r="Q574" s="2"/>
      <c r="R574" s="2"/>
      <c r="S574" s="4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15.75" customHeight="1">
      <c r="A575" s="2"/>
      <c r="B575" s="2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2"/>
      <c r="N575" s="2"/>
      <c r="O575" s="2"/>
      <c r="P575" s="2"/>
      <c r="Q575" s="2"/>
      <c r="R575" s="2"/>
      <c r="S575" s="4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ht="15.75" customHeight="1">
      <c r="A576" s="2"/>
      <c r="B576" s="2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2"/>
      <c r="N576" s="2"/>
      <c r="O576" s="2"/>
      <c r="P576" s="2"/>
      <c r="Q576" s="2"/>
      <c r="R576" s="2"/>
      <c r="S576" s="4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 ht="15.75" customHeight="1">
      <c r="A577" s="2"/>
      <c r="B577" s="2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2"/>
      <c r="N577" s="2"/>
      <c r="O577" s="2"/>
      <c r="P577" s="2"/>
      <c r="Q577" s="2"/>
      <c r="R577" s="2"/>
      <c r="S577" s="4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 ht="15.75" customHeight="1">
      <c r="A578" s="2"/>
      <c r="B578" s="2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2"/>
      <c r="N578" s="2"/>
      <c r="O578" s="2"/>
      <c r="P578" s="2"/>
      <c r="Q578" s="2"/>
      <c r="R578" s="2"/>
      <c r="S578" s="4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ht="15.75" customHeight="1">
      <c r="A579" s="2"/>
      <c r="B579" s="2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2"/>
      <c r="N579" s="2"/>
      <c r="O579" s="2"/>
      <c r="P579" s="2"/>
      <c r="Q579" s="2"/>
      <c r="R579" s="2"/>
      <c r="S579" s="4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ht="15.75" customHeight="1">
      <c r="A580" s="2"/>
      <c r="B580" s="2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2"/>
      <c r="N580" s="2"/>
      <c r="O580" s="2"/>
      <c r="P580" s="2"/>
      <c r="Q580" s="2"/>
      <c r="R580" s="2"/>
      <c r="S580" s="4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15.75" customHeight="1">
      <c r="A581" s="2"/>
      <c r="B581" s="2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2"/>
      <c r="N581" s="2"/>
      <c r="O581" s="2"/>
      <c r="P581" s="2"/>
      <c r="Q581" s="2"/>
      <c r="R581" s="2"/>
      <c r="S581" s="4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 ht="15.75" customHeight="1">
      <c r="A582" s="2"/>
      <c r="B582" s="2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2"/>
      <c r="N582" s="2"/>
      <c r="O582" s="2"/>
      <c r="P582" s="2"/>
      <c r="Q582" s="2"/>
      <c r="R582" s="2"/>
      <c r="S582" s="4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15.75" customHeight="1">
      <c r="A583" s="2"/>
      <c r="B583" s="2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2"/>
      <c r="N583" s="2"/>
      <c r="O583" s="2"/>
      <c r="P583" s="2"/>
      <c r="Q583" s="2"/>
      <c r="R583" s="2"/>
      <c r="S583" s="4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ht="15.75" customHeight="1">
      <c r="A584" s="2"/>
      <c r="B584" s="2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2"/>
      <c r="N584" s="2"/>
      <c r="O584" s="2"/>
      <c r="P584" s="2"/>
      <c r="Q584" s="2"/>
      <c r="R584" s="2"/>
      <c r="S584" s="4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ht="15.75" customHeight="1">
      <c r="A585" s="2"/>
      <c r="B585" s="2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2"/>
      <c r="N585" s="2"/>
      <c r="O585" s="2"/>
      <c r="P585" s="2"/>
      <c r="Q585" s="2"/>
      <c r="R585" s="2"/>
      <c r="S585" s="4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15.75" customHeight="1">
      <c r="A586" s="2"/>
      <c r="B586" s="2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2"/>
      <c r="N586" s="2"/>
      <c r="O586" s="2"/>
      <c r="P586" s="2"/>
      <c r="Q586" s="2"/>
      <c r="R586" s="2"/>
      <c r="S586" s="4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ht="15.75" customHeight="1">
      <c r="A587" s="2"/>
      <c r="B587" s="2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2"/>
      <c r="N587" s="2"/>
      <c r="O587" s="2"/>
      <c r="P587" s="2"/>
      <c r="Q587" s="2"/>
      <c r="R587" s="2"/>
      <c r="S587" s="4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ht="15.75" customHeight="1">
      <c r="A588" s="2"/>
      <c r="B588" s="2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2"/>
      <c r="N588" s="2"/>
      <c r="O588" s="2"/>
      <c r="P588" s="2"/>
      <c r="Q588" s="2"/>
      <c r="R588" s="2"/>
      <c r="S588" s="4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ht="15.75" customHeight="1">
      <c r="A589" s="2"/>
      <c r="B589" s="2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2"/>
      <c r="N589" s="2"/>
      <c r="O589" s="2"/>
      <c r="P589" s="2"/>
      <c r="Q589" s="2"/>
      <c r="R589" s="2"/>
      <c r="S589" s="4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ht="15.75" customHeight="1">
      <c r="A590" s="2"/>
      <c r="B590" s="2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2"/>
      <c r="N590" s="2"/>
      <c r="O590" s="2"/>
      <c r="P590" s="2"/>
      <c r="Q590" s="2"/>
      <c r="R590" s="2"/>
      <c r="S590" s="4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 ht="15.75" customHeight="1">
      <c r="A591" s="2"/>
      <c r="B591" s="2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2"/>
      <c r="N591" s="2"/>
      <c r="O591" s="2"/>
      <c r="P591" s="2"/>
      <c r="Q591" s="2"/>
      <c r="R591" s="2"/>
      <c r="S591" s="4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ht="15.75" customHeight="1">
      <c r="A592" s="2"/>
      <c r="B592" s="2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2"/>
      <c r="N592" s="2"/>
      <c r="O592" s="2"/>
      <c r="P592" s="2"/>
      <c r="Q592" s="2"/>
      <c r="R592" s="2"/>
      <c r="S592" s="4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ht="15.75" customHeight="1">
      <c r="A593" s="2"/>
      <c r="B593" s="2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2"/>
      <c r="N593" s="2"/>
      <c r="O593" s="2"/>
      <c r="P593" s="2"/>
      <c r="Q593" s="2"/>
      <c r="R593" s="2"/>
      <c r="S593" s="4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ht="15.75" customHeight="1">
      <c r="A594" s="2"/>
      <c r="B594" s="2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2"/>
      <c r="N594" s="2"/>
      <c r="O594" s="2"/>
      <c r="P594" s="2"/>
      <c r="Q594" s="2"/>
      <c r="R594" s="2"/>
      <c r="S594" s="4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ht="15.75" customHeight="1">
      <c r="A595" s="2"/>
      <c r="B595" s="2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2"/>
      <c r="N595" s="2"/>
      <c r="O595" s="2"/>
      <c r="P595" s="2"/>
      <c r="Q595" s="2"/>
      <c r="R595" s="2"/>
      <c r="S595" s="4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ht="15.75" customHeight="1">
      <c r="A596" s="2"/>
      <c r="B596" s="2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2"/>
      <c r="N596" s="2"/>
      <c r="O596" s="2"/>
      <c r="P596" s="2"/>
      <c r="Q596" s="2"/>
      <c r="R596" s="2"/>
      <c r="S596" s="4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ht="15.75" customHeight="1">
      <c r="A597" s="2"/>
      <c r="B597" s="2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2"/>
      <c r="N597" s="2"/>
      <c r="O597" s="2"/>
      <c r="P597" s="2"/>
      <c r="Q597" s="2"/>
      <c r="R597" s="2"/>
      <c r="S597" s="4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ht="15.75" customHeight="1">
      <c r="A598" s="2"/>
      <c r="B598" s="2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2"/>
      <c r="N598" s="2"/>
      <c r="O598" s="2"/>
      <c r="P598" s="2"/>
      <c r="Q598" s="2"/>
      <c r="R598" s="2"/>
      <c r="S598" s="4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ht="15.75" customHeight="1">
      <c r="A599" s="2"/>
      <c r="B599" s="2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2"/>
      <c r="N599" s="2"/>
      <c r="O599" s="2"/>
      <c r="P599" s="2"/>
      <c r="Q599" s="2"/>
      <c r="R599" s="2"/>
      <c r="S599" s="4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ht="15.75" customHeight="1">
      <c r="A600" s="2"/>
      <c r="B600" s="2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2"/>
      <c r="N600" s="2"/>
      <c r="O600" s="2"/>
      <c r="P600" s="2"/>
      <c r="Q600" s="2"/>
      <c r="R600" s="2"/>
      <c r="S600" s="4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ht="15.75" customHeight="1">
      <c r="A601" s="2"/>
      <c r="B601" s="2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2"/>
      <c r="N601" s="2"/>
      <c r="O601" s="2"/>
      <c r="P601" s="2"/>
      <c r="Q601" s="2"/>
      <c r="R601" s="2"/>
      <c r="S601" s="4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ht="15.75" customHeight="1">
      <c r="A602" s="2"/>
      <c r="B602" s="2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2"/>
      <c r="N602" s="2"/>
      <c r="O602" s="2"/>
      <c r="P602" s="2"/>
      <c r="Q602" s="2"/>
      <c r="R602" s="2"/>
      <c r="S602" s="4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 ht="15.75" customHeight="1">
      <c r="A603" s="2"/>
      <c r="B603" s="2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2"/>
      <c r="N603" s="2"/>
      <c r="O603" s="2"/>
      <c r="P603" s="2"/>
      <c r="Q603" s="2"/>
      <c r="R603" s="2"/>
      <c r="S603" s="4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ht="15.75" customHeight="1">
      <c r="A604" s="2"/>
      <c r="B604" s="2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2"/>
      <c r="N604" s="2"/>
      <c r="O604" s="2"/>
      <c r="P604" s="2"/>
      <c r="Q604" s="2"/>
      <c r="R604" s="2"/>
      <c r="S604" s="4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ht="15.75" customHeight="1">
      <c r="A605" s="2"/>
      <c r="B605" s="2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2"/>
      <c r="N605" s="2"/>
      <c r="O605" s="2"/>
      <c r="P605" s="2"/>
      <c r="Q605" s="2"/>
      <c r="R605" s="2"/>
      <c r="S605" s="4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 ht="15.75" customHeight="1">
      <c r="A606" s="2"/>
      <c r="B606" s="2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2"/>
      <c r="N606" s="2"/>
      <c r="O606" s="2"/>
      <c r="P606" s="2"/>
      <c r="Q606" s="2"/>
      <c r="R606" s="2"/>
      <c r="S606" s="4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ht="15.75" customHeight="1">
      <c r="A607" s="2"/>
      <c r="B607" s="2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2"/>
      <c r="N607" s="2"/>
      <c r="O607" s="2"/>
      <c r="P607" s="2"/>
      <c r="Q607" s="2"/>
      <c r="R607" s="2"/>
      <c r="S607" s="4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ht="15.75" customHeight="1">
      <c r="A608" s="2"/>
      <c r="B608" s="2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2"/>
      <c r="N608" s="2"/>
      <c r="O608" s="2"/>
      <c r="P608" s="2"/>
      <c r="Q608" s="2"/>
      <c r="R608" s="2"/>
      <c r="S608" s="4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ht="15.75" customHeight="1">
      <c r="A609" s="2"/>
      <c r="B609" s="2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2"/>
      <c r="N609" s="2"/>
      <c r="O609" s="2"/>
      <c r="P609" s="2"/>
      <c r="Q609" s="2"/>
      <c r="R609" s="2"/>
      <c r="S609" s="4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15.75" customHeight="1">
      <c r="A610" s="2"/>
      <c r="B610" s="2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2"/>
      <c r="N610" s="2"/>
      <c r="O610" s="2"/>
      <c r="P610" s="2"/>
      <c r="Q610" s="2"/>
      <c r="R610" s="2"/>
      <c r="S610" s="4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ht="15.75" customHeight="1">
      <c r="A611" s="2"/>
      <c r="B611" s="2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2"/>
      <c r="N611" s="2"/>
      <c r="O611" s="2"/>
      <c r="P611" s="2"/>
      <c r="Q611" s="2"/>
      <c r="R611" s="2"/>
      <c r="S611" s="4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ht="15.75" customHeight="1">
      <c r="A612" s="2"/>
      <c r="B612" s="2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2"/>
      <c r="N612" s="2"/>
      <c r="O612" s="2"/>
      <c r="P612" s="2"/>
      <c r="Q612" s="2"/>
      <c r="R612" s="2"/>
      <c r="S612" s="4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ht="15.75" customHeight="1">
      <c r="A613" s="2"/>
      <c r="B613" s="2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2"/>
      <c r="N613" s="2"/>
      <c r="O613" s="2"/>
      <c r="P613" s="2"/>
      <c r="Q613" s="2"/>
      <c r="R613" s="2"/>
      <c r="S613" s="4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ht="15.75" customHeight="1">
      <c r="A614" s="2"/>
      <c r="B614" s="2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2"/>
      <c r="N614" s="2"/>
      <c r="O614" s="2"/>
      <c r="P614" s="2"/>
      <c r="Q614" s="2"/>
      <c r="R614" s="2"/>
      <c r="S614" s="4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ht="15.75" customHeight="1">
      <c r="A615" s="2"/>
      <c r="B615" s="2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2"/>
      <c r="N615" s="2"/>
      <c r="O615" s="2"/>
      <c r="P615" s="2"/>
      <c r="Q615" s="2"/>
      <c r="R615" s="2"/>
      <c r="S615" s="4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ht="15.75" customHeight="1">
      <c r="A616" s="2"/>
      <c r="B616" s="2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2"/>
      <c r="N616" s="2"/>
      <c r="O616" s="2"/>
      <c r="P616" s="2"/>
      <c r="Q616" s="2"/>
      <c r="R616" s="2"/>
      <c r="S616" s="4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ht="15.75" customHeight="1">
      <c r="A617" s="2"/>
      <c r="B617" s="2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2"/>
      <c r="N617" s="2"/>
      <c r="O617" s="2"/>
      <c r="P617" s="2"/>
      <c r="Q617" s="2"/>
      <c r="R617" s="2"/>
      <c r="S617" s="4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15.75" customHeight="1">
      <c r="A618" s="2"/>
      <c r="B618" s="2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2"/>
      <c r="N618" s="2"/>
      <c r="O618" s="2"/>
      <c r="P618" s="2"/>
      <c r="Q618" s="2"/>
      <c r="R618" s="2"/>
      <c r="S618" s="4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ht="15.75" customHeight="1">
      <c r="A619" s="2"/>
      <c r="B619" s="2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2"/>
      <c r="N619" s="2"/>
      <c r="O619" s="2"/>
      <c r="P619" s="2"/>
      <c r="Q619" s="2"/>
      <c r="R619" s="2"/>
      <c r="S619" s="4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ht="15.75" customHeight="1">
      <c r="A620" s="2"/>
      <c r="B620" s="2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2"/>
      <c r="N620" s="2"/>
      <c r="O620" s="2"/>
      <c r="P620" s="2"/>
      <c r="Q620" s="2"/>
      <c r="R620" s="2"/>
      <c r="S620" s="4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 ht="15.75" customHeight="1">
      <c r="A621" s="2"/>
      <c r="B621" s="2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2"/>
      <c r="N621" s="2"/>
      <c r="O621" s="2"/>
      <c r="P621" s="2"/>
      <c r="Q621" s="2"/>
      <c r="R621" s="2"/>
      <c r="S621" s="4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15.75" customHeight="1">
      <c r="A622" s="2"/>
      <c r="B622" s="2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2"/>
      <c r="N622" s="2"/>
      <c r="O622" s="2"/>
      <c r="P622" s="2"/>
      <c r="Q622" s="2"/>
      <c r="R622" s="2"/>
      <c r="S622" s="4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ht="15.75" customHeight="1">
      <c r="A623" s="2"/>
      <c r="B623" s="2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2"/>
      <c r="N623" s="2"/>
      <c r="O623" s="2"/>
      <c r="P623" s="2"/>
      <c r="Q623" s="2"/>
      <c r="R623" s="2"/>
      <c r="S623" s="4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ht="15.75" customHeight="1">
      <c r="A624" s="2"/>
      <c r="B624" s="2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2"/>
      <c r="N624" s="2"/>
      <c r="O624" s="2"/>
      <c r="P624" s="2"/>
      <c r="Q624" s="2"/>
      <c r="R624" s="2"/>
      <c r="S624" s="4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ht="15.75" customHeight="1">
      <c r="A625" s="2"/>
      <c r="B625" s="2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2"/>
      <c r="N625" s="2"/>
      <c r="O625" s="2"/>
      <c r="P625" s="2"/>
      <c r="Q625" s="2"/>
      <c r="R625" s="2"/>
      <c r="S625" s="4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ht="15.75" customHeight="1">
      <c r="A626" s="2"/>
      <c r="B626" s="2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2"/>
      <c r="N626" s="2"/>
      <c r="O626" s="2"/>
      <c r="P626" s="2"/>
      <c r="Q626" s="2"/>
      <c r="R626" s="2"/>
      <c r="S626" s="4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ht="15.75" customHeight="1">
      <c r="A627" s="2"/>
      <c r="B627" s="2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2"/>
      <c r="N627" s="2"/>
      <c r="O627" s="2"/>
      <c r="P627" s="2"/>
      <c r="Q627" s="2"/>
      <c r="R627" s="2"/>
      <c r="S627" s="4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 ht="15.75" customHeight="1">
      <c r="A628" s="2"/>
      <c r="B628" s="2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2"/>
      <c r="N628" s="2"/>
      <c r="O628" s="2"/>
      <c r="P628" s="2"/>
      <c r="Q628" s="2"/>
      <c r="R628" s="2"/>
      <c r="S628" s="4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ht="15.75" customHeight="1">
      <c r="A629" s="2"/>
      <c r="B629" s="2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2"/>
      <c r="N629" s="2"/>
      <c r="O629" s="2"/>
      <c r="P629" s="2"/>
      <c r="Q629" s="2"/>
      <c r="R629" s="2"/>
      <c r="S629" s="4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ht="15.75" customHeight="1">
      <c r="A630" s="2"/>
      <c r="B630" s="2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2"/>
      <c r="N630" s="2"/>
      <c r="O630" s="2"/>
      <c r="P630" s="2"/>
      <c r="Q630" s="2"/>
      <c r="R630" s="2"/>
      <c r="S630" s="4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ht="15.75" customHeight="1">
      <c r="A631" s="2"/>
      <c r="B631" s="2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2"/>
      <c r="N631" s="2"/>
      <c r="O631" s="2"/>
      <c r="P631" s="2"/>
      <c r="Q631" s="2"/>
      <c r="R631" s="2"/>
      <c r="S631" s="4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ht="15.75" customHeight="1">
      <c r="A632" s="2"/>
      <c r="B632" s="2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2"/>
      <c r="N632" s="2"/>
      <c r="O632" s="2"/>
      <c r="P632" s="2"/>
      <c r="Q632" s="2"/>
      <c r="R632" s="2"/>
      <c r="S632" s="4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ht="15.75" customHeight="1">
      <c r="A633" s="2"/>
      <c r="B633" s="2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2"/>
      <c r="N633" s="2"/>
      <c r="O633" s="2"/>
      <c r="P633" s="2"/>
      <c r="Q633" s="2"/>
      <c r="R633" s="2"/>
      <c r="S633" s="4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ht="15.75" customHeight="1">
      <c r="A634" s="2"/>
      <c r="B634" s="2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2"/>
      <c r="N634" s="2"/>
      <c r="O634" s="2"/>
      <c r="P634" s="2"/>
      <c r="Q634" s="2"/>
      <c r="R634" s="2"/>
      <c r="S634" s="4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ht="15.75" customHeight="1">
      <c r="A635" s="2"/>
      <c r="B635" s="2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2"/>
      <c r="N635" s="2"/>
      <c r="O635" s="2"/>
      <c r="P635" s="2"/>
      <c r="Q635" s="2"/>
      <c r="R635" s="2"/>
      <c r="S635" s="4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ht="15.75" customHeight="1">
      <c r="A636" s="2"/>
      <c r="B636" s="2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2"/>
      <c r="N636" s="2"/>
      <c r="O636" s="2"/>
      <c r="P636" s="2"/>
      <c r="Q636" s="2"/>
      <c r="R636" s="2"/>
      <c r="S636" s="4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ht="15.75" customHeight="1">
      <c r="A637" s="2"/>
      <c r="B637" s="2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2"/>
      <c r="N637" s="2"/>
      <c r="O637" s="2"/>
      <c r="P637" s="2"/>
      <c r="Q637" s="2"/>
      <c r="R637" s="2"/>
      <c r="S637" s="4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 ht="15.75" customHeight="1">
      <c r="A638" s="2"/>
      <c r="B638" s="2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2"/>
      <c r="N638" s="2"/>
      <c r="O638" s="2"/>
      <c r="P638" s="2"/>
      <c r="Q638" s="2"/>
      <c r="R638" s="2"/>
      <c r="S638" s="4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ht="15.75" customHeight="1">
      <c r="A639" s="2"/>
      <c r="B639" s="2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2"/>
      <c r="N639" s="2"/>
      <c r="O639" s="2"/>
      <c r="P639" s="2"/>
      <c r="Q639" s="2"/>
      <c r="R639" s="2"/>
      <c r="S639" s="4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ht="15.75" customHeight="1">
      <c r="A640" s="2"/>
      <c r="B640" s="2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2"/>
      <c r="N640" s="2"/>
      <c r="O640" s="2"/>
      <c r="P640" s="2"/>
      <c r="Q640" s="2"/>
      <c r="R640" s="2"/>
      <c r="S640" s="4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ht="15.75" customHeight="1">
      <c r="A641" s="2"/>
      <c r="B641" s="2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2"/>
      <c r="N641" s="2"/>
      <c r="O641" s="2"/>
      <c r="P641" s="2"/>
      <c r="Q641" s="2"/>
      <c r="R641" s="2"/>
      <c r="S641" s="4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15.75" customHeight="1">
      <c r="A642" s="2"/>
      <c r="B642" s="2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2"/>
      <c r="N642" s="2"/>
      <c r="O642" s="2"/>
      <c r="P642" s="2"/>
      <c r="Q642" s="2"/>
      <c r="R642" s="2"/>
      <c r="S642" s="4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 ht="15.75" customHeight="1">
      <c r="A643" s="2"/>
      <c r="B643" s="2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2"/>
      <c r="N643" s="2"/>
      <c r="O643" s="2"/>
      <c r="P643" s="2"/>
      <c r="Q643" s="2"/>
      <c r="R643" s="2"/>
      <c r="S643" s="4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ht="15.75" customHeight="1">
      <c r="A644" s="2"/>
      <c r="B644" s="2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2"/>
      <c r="N644" s="2"/>
      <c r="O644" s="2"/>
      <c r="P644" s="2"/>
      <c r="Q644" s="2"/>
      <c r="R644" s="2"/>
      <c r="S644" s="4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ht="15.75" customHeight="1">
      <c r="A645" s="2"/>
      <c r="B645" s="2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2"/>
      <c r="N645" s="2"/>
      <c r="O645" s="2"/>
      <c r="P645" s="2"/>
      <c r="Q645" s="2"/>
      <c r="R645" s="2"/>
      <c r="S645" s="4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 ht="15.75" customHeight="1">
      <c r="A646" s="2"/>
      <c r="B646" s="2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2"/>
      <c r="N646" s="2"/>
      <c r="O646" s="2"/>
      <c r="P646" s="2"/>
      <c r="Q646" s="2"/>
      <c r="R646" s="2"/>
      <c r="S646" s="4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ht="15.75" customHeight="1">
      <c r="A647" s="2"/>
      <c r="B647" s="2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2"/>
      <c r="N647" s="2"/>
      <c r="O647" s="2"/>
      <c r="P647" s="2"/>
      <c r="Q647" s="2"/>
      <c r="R647" s="2"/>
      <c r="S647" s="4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ht="15.75" customHeight="1">
      <c r="A648" s="2"/>
      <c r="B648" s="2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2"/>
      <c r="N648" s="2"/>
      <c r="O648" s="2"/>
      <c r="P648" s="2"/>
      <c r="Q648" s="2"/>
      <c r="R648" s="2"/>
      <c r="S648" s="4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ht="15.75" customHeight="1">
      <c r="A649" s="2"/>
      <c r="B649" s="2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2"/>
      <c r="N649" s="2"/>
      <c r="O649" s="2"/>
      <c r="P649" s="2"/>
      <c r="Q649" s="2"/>
      <c r="R649" s="2"/>
      <c r="S649" s="4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ht="15.75" customHeight="1">
      <c r="A650" s="2"/>
      <c r="B650" s="2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2"/>
      <c r="N650" s="2"/>
      <c r="O650" s="2"/>
      <c r="P650" s="2"/>
      <c r="Q650" s="2"/>
      <c r="R650" s="2"/>
      <c r="S650" s="4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ht="15.75" customHeight="1">
      <c r="A651" s="2"/>
      <c r="B651" s="2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2"/>
      <c r="N651" s="2"/>
      <c r="O651" s="2"/>
      <c r="P651" s="2"/>
      <c r="Q651" s="2"/>
      <c r="R651" s="2"/>
      <c r="S651" s="4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ht="15.75" customHeight="1">
      <c r="A652" s="2"/>
      <c r="B652" s="2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2"/>
      <c r="N652" s="2"/>
      <c r="O652" s="2"/>
      <c r="P652" s="2"/>
      <c r="Q652" s="2"/>
      <c r="R652" s="2"/>
      <c r="S652" s="4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ht="15.75" customHeight="1">
      <c r="A653" s="2"/>
      <c r="B653" s="2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2"/>
      <c r="N653" s="2"/>
      <c r="O653" s="2"/>
      <c r="P653" s="2"/>
      <c r="Q653" s="2"/>
      <c r="R653" s="2"/>
      <c r="S653" s="4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 ht="15.75" customHeight="1">
      <c r="A654" s="2"/>
      <c r="B654" s="2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2"/>
      <c r="N654" s="2"/>
      <c r="O654" s="2"/>
      <c r="P654" s="2"/>
      <c r="Q654" s="2"/>
      <c r="R654" s="2"/>
      <c r="S654" s="4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 ht="15.75" customHeight="1">
      <c r="A655" s="2"/>
      <c r="B655" s="2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2"/>
      <c r="N655" s="2"/>
      <c r="O655" s="2"/>
      <c r="P655" s="2"/>
      <c r="Q655" s="2"/>
      <c r="R655" s="2"/>
      <c r="S655" s="4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 ht="15.75" customHeight="1">
      <c r="A656" s="2"/>
      <c r="B656" s="2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2"/>
      <c r="N656" s="2"/>
      <c r="O656" s="2"/>
      <c r="P656" s="2"/>
      <c r="Q656" s="2"/>
      <c r="R656" s="2"/>
      <c r="S656" s="4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</row>
    <row r="657" ht="15.75" customHeight="1">
      <c r="A657" s="2"/>
      <c r="B657" s="2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2"/>
      <c r="N657" s="2"/>
      <c r="O657" s="2"/>
      <c r="P657" s="2"/>
      <c r="Q657" s="2"/>
      <c r="R657" s="2"/>
      <c r="S657" s="4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 ht="15.75" customHeight="1">
      <c r="A658" s="2"/>
      <c r="B658" s="2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2"/>
      <c r="N658" s="2"/>
      <c r="O658" s="2"/>
      <c r="P658" s="2"/>
      <c r="Q658" s="2"/>
      <c r="R658" s="2"/>
      <c r="S658" s="4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 ht="15.75" customHeight="1">
      <c r="A659" s="2"/>
      <c r="B659" s="2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2"/>
      <c r="N659" s="2"/>
      <c r="O659" s="2"/>
      <c r="P659" s="2"/>
      <c r="Q659" s="2"/>
      <c r="R659" s="2"/>
      <c r="S659" s="4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ht="15.75" customHeight="1">
      <c r="A660" s="2"/>
      <c r="B660" s="2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2"/>
      <c r="N660" s="2"/>
      <c r="O660" s="2"/>
      <c r="P660" s="2"/>
      <c r="Q660" s="2"/>
      <c r="R660" s="2"/>
      <c r="S660" s="4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ht="15.75" customHeight="1">
      <c r="A661" s="2"/>
      <c r="B661" s="2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2"/>
      <c r="N661" s="2"/>
      <c r="O661" s="2"/>
      <c r="P661" s="2"/>
      <c r="Q661" s="2"/>
      <c r="R661" s="2"/>
      <c r="S661" s="4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 ht="15.75" customHeight="1">
      <c r="A662" s="2"/>
      <c r="B662" s="2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2"/>
      <c r="N662" s="2"/>
      <c r="O662" s="2"/>
      <c r="P662" s="2"/>
      <c r="Q662" s="2"/>
      <c r="R662" s="2"/>
      <c r="S662" s="4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ht="15.75" customHeight="1">
      <c r="A663" s="2"/>
      <c r="B663" s="2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2"/>
      <c r="N663" s="2"/>
      <c r="O663" s="2"/>
      <c r="P663" s="2"/>
      <c r="Q663" s="2"/>
      <c r="R663" s="2"/>
      <c r="S663" s="4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ht="15.75" customHeight="1">
      <c r="A664" s="2"/>
      <c r="B664" s="2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2"/>
      <c r="N664" s="2"/>
      <c r="O664" s="2"/>
      <c r="P664" s="2"/>
      <c r="Q664" s="2"/>
      <c r="R664" s="2"/>
      <c r="S664" s="4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ht="15.75" customHeight="1">
      <c r="A665" s="2"/>
      <c r="B665" s="2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2"/>
      <c r="N665" s="2"/>
      <c r="O665" s="2"/>
      <c r="P665" s="2"/>
      <c r="Q665" s="2"/>
      <c r="R665" s="2"/>
      <c r="S665" s="4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 ht="15.75" customHeight="1">
      <c r="A666" s="2"/>
      <c r="B666" s="2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2"/>
      <c r="N666" s="2"/>
      <c r="O666" s="2"/>
      <c r="P666" s="2"/>
      <c r="Q666" s="2"/>
      <c r="R666" s="2"/>
      <c r="S666" s="4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ht="15.75" customHeight="1">
      <c r="A667" s="2"/>
      <c r="B667" s="2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2"/>
      <c r="N667" s="2"/>
      <c r="O667" s="2"/>
      <c r="P667" s="2"/>
      <c r="Q667" s="2"/>
      <c r="R667" s="2"/>
      <c r="S667" s="4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 ht="15.75" customHeight="1">
      <c r="A668" s="2"/>
      <c r="B668" s="2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2"/>
      <c r="N668" s="2"/>
      <c r="O668" s="2"/>
      <c r="P668" s="2"/>
      <c r="Q668" s="2"/>
      <c r="R668" s="2"/>
      <c r="S668" s="4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ht="15.75" customHeight="1">
      <c r="A669" s="2"/>
      <c r="B669" s="2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2"/>
      <c r="N669" s="2"/>
      <c r="O669" s="2"/>
      <c r="P669" s="2"/>
      <c r="Q669" s="2"/>
      <c r="R669" s="2"/>
      <c r="S669" s="4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15.75" customHeight="1">
      <c r="A670" s="2"/>
      <c r="B670" s="2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2"/>
      <c r="N670" s="2"/>
      <c r="O670" s="2"/>
      <c r="P670" s="2"/>
      <c r="Q670" s="2"/>
      <c r="R670" s="2"/>
      <c r="S670" s="4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</row>
    <row r="671" ht="15.75" customHeight="1">
      <c r="A671" s="2"/>
      <c r="B671" s="2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2"/>
      <c r="N671" s="2"/>
      <c r="O671" s="2"/>
      <c r="P671" s="2"/>
      <c r="Q671" s="2"/>
      <c r="R671" s="2"/>
      <c r="S671" s="4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ht="15.75" customHeight="1">
      <c r="A672" s="2"/>
      <c r="B672" s="2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2"/>
      <c r="N672" s="2"/>
      <c r="O672" s="2"/>
      <c r="P672" s="2"/>
      <c r="Q672" s="2"/>
      <c r="R672" s="2"/>
      <c r="S672" s="4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ht="15.75" customHeight="1">
      <c r="A673" s="2"/>
      <c r="B673" s="2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2"/>
      <c r="N673" s="2"/>
      <c r="O673" s="2"/>
      <c r="P673" s="2"/>
      <c r="Q673" s="2"/>
      <c r="R673" s="2"/>
      <c r="S673" s="4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 ht="15.75" customHeight="1">
      <c r="A674" s="2"/>
      <c r="B674" s="2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2"/>
      <c r="N674" s="2"/>
      <c r="O674" s="2"/>
      <c r="P674" s="2"/>
      <c r="Q674" s="2"/>
      <c r="R674" s="2"/>
      <c r="S674" s="4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ht="15.75" customHeight="1">
      <c r="A675" s="2"/>
      <c r="B675" s="2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2"/>
      <c r="N675" s="2"/>
      <c r="O675" s="2"/>
      <c r="P675" s="2"/>
      <c r="Q675" s="2"/>
      <c r="R675" s="2"/>
      <c r="S675" s="4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ht="15.75" customHeight="1">
      <c r="A676" s="2"/>
      <c r="B676" s="2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2"/>
      <c r="N676" s="2"/>
      <c r="O676" s="2"/>
      <c r="P676" s="2"/>
      <c r="Q676" s="2"/>
      <c r="R676" s="2"/>
      <c r="S676" s="4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ht="15.75" customHeight="1">
      <c r="A677" s="2"/>
      <c r="B677" s="2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2"/>
      <c r="N677" s="2"/>
      <c r="O677" s="2"/>
      <c r="P677" s="2"/>
      <c r="Q677" s="2"/>
      <c r="R677" s="2"/>
      <c r="S677" s="4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ht="15.75" customHeight="1">
      <c r="A678" s="2"/>
      <c r="B678" s="2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2"/>
      <c r="N678" s="2"/>
      <c r="O678" s="2"/>
      <c r="P678" s="2"/>
      <c r="Q678" s="2"/>
      <c r="R678" s="2"/>
      <c r="S678" s="4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ht="15.75" customHeight="1">
      <c r="A679" s="2"/>
      <c r="B679" s="2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2"/>
      <c r="N679" s="2"/>
      <c r="O679" s="2"/>
      <c r="P679" s="2"/>
      <c r="Q679" s="2"/>
      <c r="R679" s="2"/>
      <c r="S679" s="4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ht="15.75" customHeight="1">
      <c r="A680" s="2"/>
      <c r="B680" s="2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2"/>
      <c r="N680" s="2"/>
      <c r="O680" s="2"/>
      <c r="P680" s="2"/>
      <c r="Q680" s="2"/>
      <c r="R680" s="2"/>
      <c r="S680" s="4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ht="15.75" customHeight="1">
      <c r="A681" s="2"/>
      <c r="B681" s="2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2"/>
      <c r="N681" s="2"/>
      <c r="O681" s="2"/>
      <c r="P681" s="2"/>
      <c r="Q681" s="2"/>
      <c r="R681" s="2"/>
      <c r="S681" s="4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 ht="15.75" customHeight="1">
      <c r="A682" s="2"/>
      <c r="B682" s="2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2"/>
      <c r="N682" s="2"/>
      <c r="O682" s="2"/>
      <c r="P682" s="2"/>
      <c r="Q682" s="2"/>
      <c r="R682" s="2"/>
      <c r="S682" s="4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ht="15.75" customHeight="1">
      <c r="A683" s="2"/>
      <c r="B683" s="2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2"/>
      <c r="N683" s="2"/>
      <c r="O683" s="2"/>
      <c r="P683" s="2"/>
      <c r="Q683" s="2"/>
      <c r="R683" s="2"/>
      <c r="S683" s="4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ht="15.75" customHeight="1">
      <c r="A684" s="2"/>
      <c r="B684" s="2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2"/>
      <c r="N684" s="2"/>
      <c r="O684" s="2"/>
      <c r="P684" s="2"/>
      <c r="Q684" s="2"/>
      <c r="R684" s="2"/>
      <c r="S684" s="4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15.75" customHeight="1">
      <c r="A685" s="2"/>
      <c r="B685" s="2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2"/>
      <c r="N685" s="2"/>
      <c r="O685" s="2"/>
      <c r="P685" s="2"/>
      <c r="Q685" s="2"/>
      <c r="R685" s="2"/>
      <c r="S685" s="4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ht="15.75" customHeight="1">
      <c r="A686" s="2"/>
      <c r="B686" s="2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2"/>
      <c r="N686" s="2"/>
      <c r="O686" s="2"/>
      <c r="P686" s="2"/>
      <c r="Q686" s="2"/>
      <c r="R686" s="2"/>
      <c r="S686" s="4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 ht="15.75" customHeight="1">
      <c r="A687" s="2"/>
      <c r="B687" s="2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2"/>
      <c r="N687" s="2"/>
      <c r="O687" s="2"/>
      <c r="P687" s="2"/>
      <c r="Q687" s="2"/>
      <c r="R687" s="2"/>
      <c r="S687" s="4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ht="15.75" customHeight="1">
      <c r="A688" s="2"/>
      <c r="B688" s="2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2"/>
      <c r="N688" s="2"/>
      <c r="O688" s="2"/>
      <c r="P688" s="2"/>
      <c r="Q688" s="2"/>
      <c r="R688" s="2"/>
      <c r="S688" s="4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ht="15.75" customHeight="1">
      <c r="A689" s="2"/>
      <c r="B689" s="2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2"/>
      <c r="N689" s="2"/>
      <c r="O689" s="2"/>
      <c r="P689" s="2"/>
      <c r="Q689" s="2"/>
      <c r="R689" s="2"/>
      <c r="S689" s="4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ht="15.75" customHeight="1">
      <c r="A690" s="2"/>
      <c r="B690" s="2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2"/>
      <c r="N690" s="2"/>
      <c r="O690" s="2"/>
      <c r="P690" s="2"/>
      <c r="Q690" s="2"/>
      <c r="R690" s="2"/>
      <c r="S690" s="4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ht="15.75" customHeight="1">
      <c r="A691" s="2"/>
      <c r="B691" s="2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2"/>
      <c r="N691" s="2"/>
      <c r="O691" s="2"/>
      <c r="P691" s="2"/>
      <c r="Q691" s="2"/>
      <c r="R691" s="2"/>
      <c r="S691" s="4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ht="15.75" customHeight="1">
      <c r="A692" s="2"/>
      <c r="B692" s="2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2"/>
      <c r="N692" s="2"/>
      <c r="O692" s="2"/>
      <c r="P692" s="2"/>
      <c r="Q692" s="2"/>
      <c r="R692" s="2"/>
      <c r="S692" s="4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ht="15.75" customHeight="1">
      <c r="A693" s="2"/>
      <c r="B693" s="2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2"/>
      <c r="N693" s="2"/>
      <c r="O693" s="2"/>
      <c r="P693" s="2"/>
      <c r="Q693" s="2"/>
      <c r="R693" s="2"/>
      <c r="S693" s="4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ht="15.75" customHeight="1">
      <c r="A694" s="2"/>
      <c r="B694" s="2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2"/>
      <c r="N694" s="2"/>
      <c r="O694" s="2"/>
      <c r="P694" s="2"/>
      <c r="Q694" s="2"/>
      <c r="R694" s="2"/>
      <c r="S694" s="4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ht="15.75" customHeight="1">
      <c r="A695" s="2"/>
      <c r="B695" s="2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2"/>
      <c r="N695" s="2"/>
      <c r="O695" s="2"/>
      <c r="P695" s="2"/>
      <c r="Q695" s="2"/>
      <c r="R695" s="2"/>
      <c r="S695" s="4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15.75" customHeight="1">
      <c r="A696" s="2"/>
      <c r="B696" s="2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2"/>
      <c r="N696" s="2"/>
      <c r="O696" s="2"/>
      <c r="P696" s="2"/>
      <c r="Q696" s="2"/>
      <c r="R696" s="2"/>
      <c r="S696" s="4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ht="15.75" customHeight="1">
      <c r="A697" s="2"/>
      <c r="B697" s="2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2"/>
      <c r="N697" s="2"/>
      <c r="O697" s="2"/>
      <c r="P697" s="2"/>
      <c r="Q697" s="2"/>
      <c r="R697" s="2"/>
      <c r="S697" s="4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15.75" customHeight="1">
      <c r="A698" s="2"/>
      <c r="B698" s="2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2"/>
      <c r="N698" s="2"/>
      <c r="O698" s="2"/>
      <c r="P698" s="2"/>
      <c r="Q698" s="2"/>
      <c r="R698" s="2"/>
      <c r="S698" s="4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 ht="15.75" customHeight="1">
      <c r="A699" s="2"/>
      <c r="B699" s="2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2"/>
      <c r="N699" s="2"/>
      <c r="O699" s="2"/>
      <c r="P699" s="2"/>
      <c r="Q699" s="2"/>
      <c r="R699" s="2"/>
      <c r="S699" s="4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ht="15.75" customHeight="1">
      <c r="A700" s="2"/>
      <c r="B700" s="2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2"/>
      <c r="N700" s="2"/>
      <c r="O700" s="2"/>
      <c r="P700" s="2"/>
      <c r="Q700" s="2"/>
      <c r="R700" s="2"/>
      <c r="S700" s="4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 ht="15.75" customHeight="1">
      <c r="A701" s="2"/>
      <c r="B701" s="2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2"/>
      <c r="N701" s="2"/>
      <c r="O701" s="2"/>
      <c r="P701" s="2"/>
      <c r="Q701" s="2"/>
      <c r="R701" s="2"/>
      <c r="S701" s="4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ht="15.75" customHeight="1">
      <c r="A702" s="2"/>
      <c r="B702" s="2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2"/>
      <c r="N702" s="2"/>
      <c r="O702" s="2"/>
      <c r="P702" s="2"/>
      <c r="Q702" s="2"/>
      <c r="R702" s="2"/>
      <c r="S702" s="4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ht="15.75" customHeight="1">
      <c r="A703" s="2"/>
      <c r="B703" s="2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2"/>
      <c r="N703" s="2"/>
      <c r="O703" s="2"/>
      <c r="P703" s="2"/>
      <c r="Q703" s="2"/>
      <c r="R703" s="2"/>
      <c r="S703" s="4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ht="15.75" customHeight="1">
      <c r="A704" s="2"/>
      <c r="B704" s="2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2"/>
      <c r="N704" s="2"/>
      <c r="O704" s="2"/>
      <c r="P704" s="2"/>
      <c r="Q704" s="2"/>
      <c r="R704" s="2"/>
      <c r="S704" s="4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ht="15.75" customHeight="1">
      <c r="A705" s="2"/>
      <c r="B705" s="2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2"/>
      <c r="N705" s="2"/>
      <c r="O705" s="2"/>
      <c r="P705" s="2"/>
      <c r="Q705" s="2"/>
      <c r="R705" s="2"/>
      <c r="S705" s="4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 ht="15.75" customHeight="1">
      <c r="A706" s="2"/>
      <c r="B706" s="2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2"/>
      <c r="N706" s="2"/>
      <c r="O706" s="2"/>
      <c r="P706" s="2"/>
      <c r="Q706" s="2"/>
      <c r="R706" s="2"/>
      <c r="S706" s="4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ht="15.75" customHeight="1">
      <c r="A707" s="2"/>
      <c r="B707" s="2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2"/>
      <c r="N707" s="2"/>
      <c r="O707" s="2"/>
      <c r="P707" s="2"/>
      <c r="Q707" s="2"/>
      <c r="R707" s="2"/>
      <c r="S707" s="4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ht="15.75" customHeight="1">
      <c r="A708" s="2"/>
      <c r="B708" s="2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2"/>
      <c r="N708" s="2"/>
      <c r="O708" s="2"/>
      <c r="P708" s="2"/>
      <c r="Q708" s="2"/>
      <c r="R708" s="2"/>
      <c r="S708" s="4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ht="15.75" customHeight="1">
      <c r="A709" s="2"/>
      <c r="B709" s="2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2"/>
      <c r="N709" s="2"/>
      <c r="O709" s="2"/>
      <c r="P709" s="2"/>
      <c r="Q709" s="2"/>
      <c r="R709" s="2"/>
      <c r="S709" s="4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ht="15.75" customHeight="1">
      <c r="A710" s="2"/>
      <c r="B710" s="2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2"/>
      <c r="N710" s="2"/>
      <c r="O710" s="2"/>
      <c r="P710" s="2"/>
      <c r="Q710" s="2"/>
      <c r="R710" s="2"/>
      <c r="S710" s="4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15.75" customHeight="1">
      <c r="A711" s="2"/>
      <c r="B711" s="2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2"/>
      <c r="N711" s="2"/>
      <c r="O711" s="2"/>
      <c r="P711" s="2"/>
      <c r="Q711" s="2"/>
      <c r="R711" s="2"/>
      <c r="S711" s="4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15.75" customHeight="1">
      <c r="A712" s="2"/>
      <c r="B712" s="2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2"/>
      <c r="N712" s="2"/>
      <c r="O712" s="2"/>
      <c r="P712" s="2"/>
      <c r="Q712" s="2"/>
      <c r="R712" s="2"/>
      <c r="S712" s="4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ht="15.75" customHeight="1">
      <c r="A713" s="2"/>
      <c r="B713" s="2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2"/>
      <c r="N713" s="2"/>
      <c r="O713" s="2"/>
      <c r="P713" s="2"/>
      <c r="Q713" s="2"/>
      <c r="R713" s="2"/>
      <c r="S713" s="4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ht="15.75" customHeight="1">
      <c r="A714" s="2"/>
      <c r="B714" s="2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2"/>
      <c r="N714" s="2"/>
      <c r="O714" s="2"/>
      <c r="P714" s="2"/>
      <c r="Q714" s="2"/>
      <c r="R714" s="2"/>
      <c r="S714" s="4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ht="15.75" customHeight="1">
      <c r="A715" s="2"/>
      <c r="B715" s="2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2"/>
      <c r="N715" s="2"/>
      <c r="O715" s="2"/>
      <c r="P715" s="2"/>
      <c r="Q715" s="2"/>
      <c r="R715" s="2"/>
      <c r="S715" s="4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ht="15.75" customHeight="1">
      <c r="A716" s="2"/>
      <c r="B716" s="2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2"/>
      <c r="N716" s="2"/>
      <c r="O716" s="2"/>
      <c r="P716" s="2"/>
      <c r="Q716" s="2"/>
      <c r="R716" s="2"/>
      <c r="S716" s="4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 ht="15.75" customHeight="1">
      <c r="A717" s="2"/>
      <c r="B717" s="2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2"/>
      <c r="N717" s="2"/>
      <c r="O717" s="2"/>
      <c r="P717" s="2"/>
      <c r="Q717" s="2"/>
      <c r="R717" s="2"/>
      <c r="S717" s="4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ht="15.75" customHeight="1">
      <c r="A718" s="2"/>
      <c r="B718" s="2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2"/>
      <c r="N718" s="2"/>
      <c r="O718" s="2"/>
      <c r="P718" s="2"/>
      <c r="Q718" s="2"/>
      <c r="R718" s="2"/>
      <c r="S718" s="4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 ht="15.75" customHeight="1">
      <c r="A719" s="2"/>
      <c r="B719" s="2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2"/>
      <c r="N719" s="2"/>
      <c r="O719" s="2"/>
      <c r="P719" s="2"/>
      <c r="Q719" s="2"/>
      <c r="R719" s="2"/>
      <c r="S719" s="4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ht="15.75" customHeight="1">
      <c r="A720" s="2"/>
      <c r="B720" s="2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2"/>
      <c r="N720" s="2"/>
      <c r="O720" s="2"/>
      <c r="P720" s="2"/>
      <c r="Q720" s="2"/>
      <c r="R720" s="2"/>
      <c r="S720" s="4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ht="15.75" customHeight="1">
      <c r="A721" s="2"/>
      <c r="B721" s="2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2"/>
      <c r="N721" s="2"/>
      <c r="O721" s="2"/>
      <c r="P721" s="2"/>
      <c r="Q721" s="2"/>
      <c r="R721" s="2"/>
      <c r="S721" s="4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ht="15.75" customHeight="1">
      <c r="A722" s="2"/>
      <c r="B722" s="2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2"/>
      <c r="N722" s="2"/>
      <c r="O722" s="2"/>
      <c r="P722" s="2"/>
      <c r="Q722" s="2"/>
      <c r="R722" s="2"/>
      <c r="S722" s="4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ht="15.75" customHeight="1">
      <c r="A723" s="2"/>
      <c r="B723" s="2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2"/>
      <c r="N723" s="2"/>
      <c r="O723" s="2"/>
      <c r="P723" s="2"/>
      <c r="Q723" s="2"/>
      <c r="R723" s="2"/>
      <c r="S723" s="4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ht="15.75" customHeight="1">
      <c r="A724" s="2"/>
      <c r="B724" s="2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2"/>
      <c r="N724" s="2"/>
      <c r="O724" s="2"/>
      <c r="P724" s="2"/>
      <c r="Q724" s="2"/>
      <c r="R724" s="2"/>
      <c r="S724" s="4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 ht="15.75" customHeight="1">
      <c r="A725" s="2"/>
      <c r="B725" s="2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2"/>
      <c r="N725" s="2"/>
      <c r="O725" s="2"/>
      <c r="P725" s="2"/>
      <c r="Q725" s="2"/>
      <c r="R725" s="2"/>
      <c r="S725" s="4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ht="15.75" customHeight="1">
      <c r="A726" s="2"/>
      <c r="B726" s="2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2"/>
      <c r="N726" s="2"/>
      <c r="O726" s="2"/>
      <c r="P726" s="2"/>
      <c r="Q726" s="2"/>
      <c r="R726" s="2"/>
      <c r="S726" s="4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ht="15.75" customHeight="1">
      <c r="A727" s="2"/>
      <c r="B727" s="2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2"/>
      <c r="N727" s="2"/>
      <c r="O727" s="2"/>
      <c r="P727" s="2"/>
      <c r="Q727" s="2"/>
      <c r="R727" s="2"/>
      <c r="S727" s="4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ht="15.75" customHeight="1">
      <c r="A728" s="2"/>
      <c r="B728" s="2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2"/>
      <c r="N728" s="2"/>
      <c r="O728" s="2"/>
      <c r="P728" s="2"/>
      <c r="Q728" s="2"/>
      <c r="R728" s="2"/>
      <c r="S728" s="4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ht="15.75" customHeight="1">
      <c r="A729" s="2"/>
      <c r="B729" s="2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2"/>
      <c r="N729" s="2"/>
      <c r="O729" s="2"/>
      <c r="P729" s="2"/>
      <c r="Q729" s="2"/>
      <c r="R729" s="2"/>
      <c r="S729" s="4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ht="15.75" customHeight="1">
      <c r="A730" s="2"/>
      <c r="B730" s="2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2"/>
      <c r="N730" s="2"/>
      <c r="O730" s="2"/>
      <c r="P730" s="2"/>
      <c r="Q730" s="2"/>
      <c r="R730" s="2"/>
      <c r="S730" s="4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ht="15.75" customHeight="1">
      <c r="A731" s="2"/>
      <c r="B731" s="2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2"/>
      <c r="N731" s="2"/>
      <c r="O731" s="2"/>
      <c r="P731" s="2"/>
      <c r="Q731" s="2"/>
      <c r="R731" s="2"/>
      <c r="S731" s="4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ht="15.75" customHeight="1">
      <c r="A732" s="2"/>
      <c r="B732" s="2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2"/>
      <c r="N732" s="2"/>
      <c r="O732" s="2"/>
      <c r="P732" s="2"/>
      <c r="Q732" s="2"/>
      <c r="R732" s="2"/>
      <c r="S732" s="4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ht="15.75" customHeight="1">
      <c r="A733" s="2"/>
      <c r="B733" s="2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2"/>
      <c r="N733" s="2"/>
      <c r="O733" s="2"/>
      <c r="P733" s="2"/>
      <c r="Q733" s="2"/>
      <c r="R733" s="2"/>
      <c r="S733" s="4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ht="15.75" customHeight="1">
      <c r="A734" s="2"/>
      <c r="B734" s="2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2"/>
      <c r="N734" s="2"/>
      <c r="O734" s="2"/>
      <c r="P734" s="2"/>
      <c r="Q734" s="2"/>
      <c r="R734" s="2"/>
      <c r="S734" s="4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ht="15.75" customHeight="1">
      <c r="A735" s="2"/>
      <c r="B735" s="2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2"/>
      <c r="N735" s="2"/>
      <c r="O735" s="2"/>
      <c r="P735" s="2"/>
      <c r="Q735" s="2"/>
      <c r="R735" s="2"/>
      <c r="S735" s="4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ht="15.75" customHeight="1">
      <c r="A736" s="2"/>
      <c r="B736" s="2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2"/>
      <c r="N736" s="2"/>
      <c r="O736" s="2"/>
      <c r="P736" s="2"/>
      <c r="Q736" s="2"/>
      <c r="R736" s="2"/>
      <c r="S736" s="4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ht="15.75" customHeight="1">
      <c r="A737" s="2"/>
      <c r="B737" s="2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2"/>
      <c r="N737" s="2"/>
      <c r="O737" s="2"/>
      <c r="P737" s="2"/>
      <c r="Q737" s="2"/>
      <c r="R737" s="2"/>
      <c r="S737" s="4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 ht="15.75" customHeight="1">
      <c r="A738" s="2"/>
      <c r="B738" s="2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2"/>
      <c r="N738" s="2"/>
      <c r="O738" s="2"/>
      <c r="P738" s="2"/>
      <c r="Q738" s="2"/>
      <c r="R738" s="2"/>
      <c r="S738" s="4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ht="15.75" customHeight="1">
      <c r="A739" s="2"/>
      <c r="B739" s="2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2"/>
      <c r="N739" s="2"/>
      <c r="O739" s="2"/>
      <c r="P739" s="2"/>
      <c r="Q739" s="2"/>
      <c r="R739" s="2"/>
      <c r="S739" s="4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ht="15.75" customHeight="1">
      <c r="A740" s="2"/>
      <c r="B740" s="2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2"/>
      <c r="N740" s="2"/>
      <c r="O740" s="2"/>
      <c r="P740" s="2"/>
      <c r="Q740" s="2"/>
      <c r="R740" s="2"/>
      <c r="S740" s="4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ht="15.75" customHeight="1">
      <c r="A741" s="2"/>
      <c r="B741" s="2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2"/>
      <c r="N741" s="2"/>
      <c r="O741" s="2"/>
      <c r="P741" s="2"/>
      <c r="Q741" s="2"/>
      <c r="R741" s="2"/>
      <c r="S741" s="4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ht="15.75" customHeight="1">
      <c r="A742" s="2"/>
      <c r="B742" s="2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2"/>
      <c r="N742" s="2"/>
      <c r="O742" s="2"/>
      <c r="P742" s="2"/>
      <c r="Q742" s="2"/>
      <c r="R742" s="2"/>
      <c r="S742" s="4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ht="15.75" customHeight="1">
      <c r="A743" s="2"/>
      <c r="B743" s="2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2"/>
      <c r="N743" s="2"/>
      <c r="O743" s="2"/>
      <c r="P743" s="2"/>
      <c r="Q743" s="2"/>
      <c r="R743" s="2"/>
      <c r="S743" s="4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ht="15.75" customHeight="1">
      <c r="A744" s="2"/>
      <c r="B744" s="2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2"/>
      <c r="N744" s="2"/>
      <c r="O744" s="2"/>
      <c r="P744" s="2"/>
      <c r="Q744" s="2"/>
      <c r="R744" s="2"/>
      <c r="S744" s="4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ht="15.75" customHeight="1">
      <c r="A745" s="2"/>
      <c r="B745" s="2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2"/>
      <c r="N745" s="2"/>
      <c r="O745" s="2"/>
      <c r="P745" s="2"/>
      <c r="Q745" s="2"/>
      <c r="R745" s="2"/>
      <c r="S745" s="4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ht="15.75" customHeight="1">
      <c r="A746" s="2"/>
      <c r="B746" s="2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2"/>
      <c r="N746" s="2"/>
      <c r="O746" s="2"/>
      <c r="P746" s="2"/>
      <c r="Q746" s="2"/>
      <c r="R746" s="2"/>
      <c r="S746" s="4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 ht="15.75" customHeight="1">
      <c r="A747" s="2"/>
      <c r="B747" s="2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2"/>
      <c r="N747" s="2"/>
      <c r="O747" s="2"/>
      <c r="P747" s="2"/>
      <c r="Q747" s="2"/>
      <c r="R747" s="2"/>
      <c r="S747" s="4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ht="15.75" customHeight="1">
      <c r="A748" s="2"/>
      <c r="B748" s="2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2"/>
      <c r="N748" s="2"/>
      <c r="O748" s="2"/>
      <c r="P748" s="2"/>
      <c r="Q748" s="2"/>
      <c r="R748" s="2"/>
      <c r="S748" s="4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ht="15.75" customHeight="1">
      <c r="A749" s="2"/>
      <c r="B749" s="2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2"/>
      <c r="N749" s="2"/>
      <c r="O749" s="2"/>
      <c r="P749" s="2"/>
      <c r="Q749" s="2"/>
      <c r="R749" s="2"/>
      <c r="S749" s="4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 ht="15.75" customHeight="1">
      <c r="A750" s="2"/>
      <c r="B750" s="2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2"/>
      <c r="N750" s="2"/>
      <c r="O750" s="2"/>
      <c r="P750" s="2"/>
      <c r="Q750" s="2"/>
      <c r="R750" s="2"/>
      <c r="S750" s="4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ht="15.75" customHeight="1">
      <c r="A751" s="2"/>
      <c r="B751" s="2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2"/>
      <c r="N751" s="2"/>
      <c r="O751" s="2"/>
      <c r="P751" s="2"/>
      <c r="Q751" s="2"/>
      <c r="R751" s="2"/>
      <c r="S751" s="4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ht="15.75" customHeight="1">
      <c r="A752" s="2"/>
      <c r="B752" s="2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2"/>
      <c r="N752" s="2"/>
      <c r="O752" s="2"/>
      <c r="P752" s="2"/>
      <c r="Q752" s="2"/>
      <c r="R752" s="2"/>
      <c r="S752" s="4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ht="15.75" customHeight="1">
      <c r="A753" s="2"/>
      <c r="B753" s="2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2"/>
      <c r="N753" s="2"/>
      <c r="O753" s="2"/>
      <c r="P753" s="2"/>
      <c r="Q753" s="2"/>
      <c r="R753" s="2"/>
      <c r="S753" s="4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ht="15.75" customHeight="1">
      <c r="A754" s="2"/>
      <c r="B754" s="2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2"/>
      <c r="N754" s="2"/>
      <c r="O754" s="2"/>
      <c r="P754" s="2"/>
      <c r="Q754" s="2"/>
      <c r="R754" s="2"/>
      <c r="S754" s="4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 ht="15.75" customHeight="1">
      <c r="A755" s="2"/>
      <c r="B755" s="2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2"/>
      <c r="N755" s="2"/>
      <c r="O755" s="2"/>
      <c r="P755" s="2"/>
      <c r="Q755" s="2"/>
      <c r="R755" s="2"/>
      <c r="S755" s="4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ht="15.75" customHeight="1">
      <c r="A756" s="2"/>
      <c r="B756" s="2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2"/>
      <c r="N756" s="2"/>
      <c r="O756" s="2"/>
      <c r="P756" s="2"/>
      <c r="Q756" s="2"/>
      <c r="R756" s="2"/>
      <c r="S756" s="4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ht="15.75" customHeight="1">
      <c r="A757" s="2"/>
      <c r="B757" s="2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2"/>
      <c r="N757" s="2"/>
      <c r="O757" s="2"/>
      <c r="P757" s="2"/>
      <c r="Q757" s="2"/>
      <c r="R757" s="2"/>
      <c r="S757" s="4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 ht="15.75" customHeight="1">
      <c r="A758" s="2"/>
      <c r="B758" s="2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2"/>
      <c r="N758" s="2"/>
      <c r="O758" s="2"/>
      <c r="P758" s="2"/>
      <c r="Q758" s="2"/>
      <c r="R758" s="2"/>
      <c r="S758" s="4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ht="15.75" customHeight="1">
      <c r="A759" s="2"/>
      <c r="B759" s="2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2"/>
      <c r="N759" s="2"/>
      <c r="O759" s="2"/>
      <c r="P759" s="2"/>
      <c r="Q759" s="2"/>
      <c r="R759" s="2"/>
      <c r="S759" s="4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ht="15.75" customHeight="1">
      <c r="A760" s="2"/>
      <c r="B760" s="2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2"/>
      <c r="N760" s="2"/>
      <c r="O760" s="2"/>
      <c r="P760" s="2"/>
      <c r="Q760" s="2"/>
      <c r="R760" s="2"/>
      <c r="S760" s="4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ht="15.75" customHeight="1">
      <c r="A761" s="2"/>
      <c r="B761" s="2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2"/>
      <c r="N761" s="2"/>
      <c r="O761" s="2"/>
      <c r="P761" s="2"/>
      <c r="Q761" s="2"/>
      <c r="R761" s="2"/>
      <c r="S761" s="4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ht="15.75" customHeight="1">
      <c r="A762" s="2"/>
      <c r="B762" s="2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2"/>
      <c r="N762" s="2"/>
      <c r="O762" s="2"/>
      <c r="P762" s="2"/>
      <c r="Q762" s="2"/>
      <c r="R762" s="2"/>
      <c r="S762" s="4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ht="15.75" customHeight="1">
      <c r="A763" s="2"/>
      <c r="B763" s="2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2"/>
      <c r="N763" s="2"/>
      <c r="O763" s="2"/>
      <c r="P763" s="2"/>
      <c r="Q763" s="2"/>
      <c r="R763" s="2"/>
      <c r="S763" s="4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 ht="15.75" customHeight="1">
      <c r="A764" s="2"/>
      <c r="B764" s="2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2"/>
      <c r="N764" s="2"/>
      <c r="O764" s="2"/>
      <c r="P764" s="2"/>
      <c r="Q764" s="2"/>
      <c r="R764" s="2"/>
      <c r="S764" s="4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 ht="15.75" customHeight="1">
      <c r="A765" s="2"/>
      <c r="B765" s="2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2"/>
      <c r="N765" s="2"/>
      <c r="O765" s="2"/>
      <c r="P765" s="2"/>
      <c r="Q765" s="2"/>
      <c r="R765" s="2"/>
      <c r="S765" s="4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ht="15.75" customHeight="1">
      <c r="A766" s="2"/>
      <c r="B766" s="2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2"/>
      <c r="N766" s="2"/>
      <c r="O766" s="2"/>
      <c r="P766" s="2"/>
      <c r="Q766" s="2"/>
      <c r="R766" s="2"/>
      <c r="S766" s="4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ht="15.75" customHeight="1">
      <c r="A767" s="2"/>
      <c r="B767" s="2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2"/>
      <c r="N767" s="2"/>
      <c r="O767" s="2"/>
      <c r="P767" s="2"/>
      <c r="Q767" s="2"/>
      <c r="R767" s="2"/>
      <c r="S767" s="4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ht="15.75" customHeight="1">
      <c r="A768" s="2"/>
      <c r="B768" s="2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2"/>
      <c r="N768" s="2"/>
      <c r="O768" s="2"/>
      <c r="P768" s="2"/>
      <c r="Q768" s="2"/>
      <c r="R768" s="2"/>
      <c r="S768" s="4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ht="15.75" customHeight="1">
      <c r="A769" s="2"/>
      <c r="B769" s="2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2"/>
      <c r="N769" s="2"/>
      <c r="O769" s="2"/>
      <c r="P769" s="2"/>
      <c r="Q769" s="2"/>
      <c r="R769" s="2"/>
      <c r="S769" s="4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ht="15.75" customHeight="1">
      <c r="A770" s="2"/>
      <c r="B770" s="2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2"/>
      <c r="N770" s="2"/>
      <c r="O770" s="2"/>
      <c r="P770" s="2"/>
      <c r="Q770" s="2"/>
      <c r="R770" s="2"/>
      <c r="S770" s="4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ht="15.75" customHeight="1">
      <c r="A771" s="2"/>
      <c r="B771" s="2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2"/>
      <c r="N771" s="2"/>
      <c r="O771" s="2"/>
      <c r="P771" s="2"/>
      <c r="Q771" s="2"/>
      <c r="R771" s="2"/>
      <c r="S771" s="4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 ht="15.75" customHeight="1">
      <c r="A772" s="2"/>
      <c r="B772" s="2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2"/>
      <c r="N772" s="2"/>
      <c r="O772" s="2"/>
      <c r="P772" s="2"/>
      <c r="Q772" s="2"/>
      <c r="R772" s="2"/>
      <c r="S772" s="4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ht="15.75" customHeight="1">
      <c r="A773" s="2"/>
      <c r="B773" s="2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2"/>
      <c r="N773" s="2"/>
      <c r="O773" s="2"/>
      <c r="P773" s="2"/>
      <c r="Q773" s="2"/>
      <c r="R773" s="2"/>
      <c r="S773" s="4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 ht="15.75" customHeight="1">
      <c r="A774" s="2"/>
      <c r="B774" s="2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2"/>
      <c r="N774" s="2"/>
      <c r="O774" s="2"/>
      <c r="P774" s="2"/>
      <c r="Q774" s="2"/>
      <c r="R774" s="2"/>
      <c r="S774" s="4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 ht="15.75" customHeight="1">
      <c r="A775" s="2"/>
      <c r="B775" s="2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2"/>
      <c r="N775" s="2"/>
      <c r="O775" s="2"/>
      <c r="P775" s="2"/>
      <c r="Q775" s="2"/>
      <c r="R775" s="2"/>
      <c r="S775" s="4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ht="15.75" customHeight="1">
      <c r="A776" s="2"/>
      <c r="B776" s="2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2"/>
      <c r="N776" s="2"/>
      <c r="O776" s="2"/>
      <c r="P776" s="2"/>
      <c r="Q776" s="2"/>
      <c r="R776" s="2"/>
      <c r="S776" s="4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ht="15.75" customHeight="1">
      <c r="A777" s="2"/>
      <c r="B777" s="2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2"/>
      <c r="N777" s="2"/>
      <c r="O777" s="2"/>
      <c r="P777" s="2"/>
      <c r="Q777" s="2"/>
      <c r="R777" s="2"/>
      <c r="S777" s="4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ht="15.75" customHeight="1">
      <c r="A778" s="2"/>
      <c r="B778" s="2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2"/>
      <c r="N778" s="2"/>
      <c r="O778" s="2"/>
      <c r="P778" s="2"/>
      <c r="Q778" s="2"/>
      <c r="R778" s="2"/>
      <c r="S778" s="4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ht="15.75" customHeight="1">
      <c r="A779" s="2"/>
      <c r="B779" s="2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2"/>
      <c r="N779" s="2"/>
      <c r="O779" s="2"/>
      <c r="P779" s="2"/>
      <c r="Q779" s="2"/>
      <c r="R779" s="2"/>
      <c r="S779" s="4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ht="15.75" customHeight="1">
      <c r="A780" s="2"/>
      <c r="B780" s="2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2"/>
      <c r="N780" s="2"/>
      <c r="O780" s="2"/>
      <c r="P780" s="2"/>
      <c r="Q780" s="2"/>
      <c r="R780" s="2"/>
      <c r="S780" s="4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ht="15.75" customHeight="1">
      <c r="A781" s="2"/>
      <c r="B781" s="2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2"/>
      <c r="N781" s="2"/>
      <c r="O781" s="2"/>
      <c r="P781" s="2"/>
      <c r="Q781" s="2"/>
      <c r="R781" s="2"/>
      <c r="S781" s="4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ht="15.75" customHeight="1">
      <c r="A782" s="2"/>
      <c r="B782" s="2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2"/>
      <c r="N782" s="2"/>
      <c r="O782" s="2"/>
      <c r="P782" s="2"/>
      <c r="Q782" s="2"/>
      <c r="R782" s="2"/>
      <c r="S782" s="4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ht="15.75" customHeight="1">
      <c r="A783" s="2"/>
      <c r="B783" s="2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2"/>
      <c r="N783" s="2"/>
      <c r="O783" s="2"/>
      <c r="P783" s="2"/>
      <c r="Q783" s="2"/>
      <c r="R783" s="2"/>
      <c r="S783" s="4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ht="15.75" customHeight="1">
      <c r="A784" s="2"/>
      <c r="B784" s="2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2"/>
      <c r="N784" s="2"/>
      <c r="O784" s="2"/>
      <c r="P784" s="2"/>
      <c r="Q784" s="2"/>
      <c r="R784" s="2"/>
      <c r="S784" s="4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ht="15.75" customHeight="1">
      <c r="A785" s="2"/>
      <c r="B785" s="2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2"/>
      <c r="N785" s="2"/>
      <c r="O785" s="2"/>
      <c r="P785" s="2"/>
      <c r="Q785" s="2"/>
      <c r="R785" s="2"/>
      <c r="S785" s="4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 ht="15.75" customHeight="1">
      <c r="A786" s="2"/>
      <c r="B786" s="2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2"/>
      <c r="N786" s="2"/>
      <c r="O786" s="2"/>
      <c r="P786" s="2"/>
      <c r="Q786" s="2"/>
      <c r="R786" s="2"/>
      <c r="S786" s="4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ht="15.75" customHeight="1">
      <c r="A787" s="2"/>
      <c r="B787" s="2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2"/>
      <c r="N787" s="2"/>
      <c r="O787" s="2"/>
      <c r="P787" s="2"/>
      <c r="Q787" s="2"/>
      <c r="R787" s="2"/>
      <c r="S787" s="4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ht="15.75" customHeight="1">
      <c r="A788" s="2"/>
      <c r="B788" s="2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2"/>
      <c r="N788" s="2"/>
      <c r="O788" s="2"/>
      <c r="P788" s="2"/>
      <c r="Q788" s="2"/>
      <c r="R788" s="2"/>
      <c r="S788" s="4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ht="15.75" customHeight="1">
      <c r="A789" s="2"/>
      <c r="B789" s="2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2"/>
      <c r="N789" s="2"/>
      <c r="O789" s="2"/>
      <c r="P789" s="2"/>
      <c r="Q789" s="2"/>
      <c r="R789" s="2"/>
      <c r="S789" s="4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ht="15.75" customHeight="1">
      <c r="A790" s="2"/>
      <c r="B790" s="2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2"/>
      <c r="N790" s="2"/>
      <c r="O790" s="2"/>
      <c r="P790" s="2"/>
      <c r="Q790" s="2"/>
      <c r="R790" s="2"/>
      <c r="S790" s="4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 ht="15.75" customHeight="1">
      <c r="A791" s="2"/>
      <c r="B791" s="2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2"/>
      <c r="N791" s="2"/>
      <c r="O791" s="2"/>
      <c r="P791" s="2"/>
      <c r="Q791" s="2"/>
      <c r="R791" s="2"/>
      <c r="S791" s="4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ht="15.75" customHeight="1">
      <c r="A792" s="2"/>
      <c r="B792" s="2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2"/>
      <c r="N792" s="2"/>
      <c r="O792" s="2"/>
      <c r="P792" s="2"/>
      <c r="Q792" s="2"/>
      <c r="R792" s="2"/>
      <c r="S792" s="4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ht="15.75" customHeight="1">
      <c r="A793" s="2"/>
      <c r="B793" s="2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2"/>
      <c r="N793" s="2"/>
      <c r="O793" s="2"/>
      <c r="P793" s="2"/>
      <c r="Q793" s="2"/>
      <c r="R793" s="2"/>
      <c r="S793" s="4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 ht="15.75" customHeight="1">
      <c r="A794" s="2"/>
      <c r="B794" s="2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2"/>
      <c r="N794" s="2"/>
      <c r="O794" s="2"/>
      <c r="P794" s="2"/>
      <c r="Q794" s="2"/>
      <c r="R794" s="2"/>
      <c r="S794" s="4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ht="15.75" customHeight="1">
      <c r="A795" s="2"/>
      <c r="B795" s="2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2"/>
      <c r="N795" s="2"/>
      <c r="O795" s="2"/>
      <c r="P795" s="2"/>
      <c r="Q795" s="2"/>
      <c r="R795" s="2"/>
      <c r="S795" s="4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ht="15.75" customHeight="1">
      <c r="A796" s="2"/>
      <c r="B796" s="2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2"/>
      <c r="N796" s="2"/>
      <c r="O796" s="2"/>
      <c r="P796" s="2"/>
      <c r="Q796" s="2"/>
      <c r="R796" s="2"/>
      <c r="S796" s="4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ht="15.75" customHeight="1">
      <c r="A797" s="2"/>
      <c r="B797" s="2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2"/>
      <c r="N797" s="2"/>
      <c r="O797" s="2"/>
      <c r="P797" s="2"/>
      <c r="Q797" s="2"/>
      <c r="R797" s="2"/>
      <c r="S797" s="4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ht="15.75" customHeight="1">
      <c r="A798" s="2"/>
      <c r="B798" s="2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2"/>
      <c r="N798" s="2"/>
      <c r="O798" s="2"/>
      <c r="P798" s="2"/>
      <c r="Q798" s="2"/>
      <c r="R798" s="2"/>
      <c r="S798" s="4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ht="15.75" customHeight="1">
      <c r="A799" s="2"/>
      <c r="B799" s="2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2"/>
      <c r="N799" s="2"/>
      <c r="O799" s="2"/>
      <c r="P799" s="2"/>
      <c r="Q799" s="2"/>
      <c r="R799" s="2"/>
      <c r="S799" s="4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ht="15.75" customHeight="1">
      <c r="A800" s="2"/>
      <c r="B800" s="2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2"/>
      <c r="N800" s="2"/>
      <c r="O800" s="2"/>
      <c r="P800" s="2"/>
      <c r="Q800" s="2"/>
      <c r="R800" s="2"/>
      <c r="S800" s="4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ht="15.75" customHeight="1">
      <c r="A801" s="2"/>
      <c r="B801" s="2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2"/>
      <c r="N801" s="2"/>
      <c r="O801" s="2"/>
      <c r="P801" s="2"/>
      <c r="Q801" s="2"/>
      <c r="R801" s="2"/>
      <c r="S801" s="4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ht="15.75" customHeight="1">
      <c r="A802" s="2"/>
      <c r="B802" s="2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2"/>
      <c r="N802" s="2"/>
      <c r="O802" s="2"/>
      <c r="P802" s="2"/>
      <c r="Q802" s="2"/>
      <c r="R802" s="2"/>
      <c r="S802" s="4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ht="15.75" customHeight="1">
      <c r="A803" s="2"/>
      <c r="B803" s="2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2"/>
      <c r="N803" s="2"/>
      <c r="O803" s="2"/>
      <c r="P803" s="2"/>
      <c r="Q803" s="2"/>
      <c r="R803" s="2"/>
      <c r="S803" s="4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 ht="15.75" customHeight="1">
      <c r="A804" s="2"/>
      <c r="B804" s="2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2"/>
      <c r="N804" s="2"/>
      <c r="O804" s="2"/>
      <c r="P804" s="2"/>
      <c r="Q804" s="2"/>
      <c r="R804" s="2"/>
      <c r="S804" s="4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ht="15.75" customHeight="1">
      <c r="A805" s="2"/>
      <c r="B805" s="2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2"/>
      <c r="N805" s="2"/>
      <c r="O805" s="2"/>
      <c r="P805" s="2"/>
      <c r="Q805" s="2"/>
      <c r="R805" s="2"/>
      <c r="S805" s="4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ht="15.75" customHeight="1">
      <c r="A806" s="2"/>
      <c r="B806" s="2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2"/>
      <c r="N806" s="2"/>
      <c r="O806" s="2"/>
      <c r="P806" s="2"/>
      <c r="Q806" s="2"/>
      <c r="R806" s="2"/>
      <c r="S806" s="4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ht="15.75" customHeight="1">
      <c r="A807" s="2"/>
      <c r="B807" s="2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2"/>
      <c r="N807" s="2"/>
      <c r="O807" s="2"/>
      <c r="P807" s="2"/>
      <c r="Q807" s="2"/>
      <c r="R807" s="2"/>
      <c r="S807" s="4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ht="15.75" customHeight="1">
      <c r="A808" s="2"/>
      <c r="B808" s="2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2"/>
      <c r="N808" s="2"/>
      <c r="O808" s="2"/>
      <c r="P808" s="2"/>
      <c r="Q808" s="2"/>
      <c r="R808" s="2"/>
      <c r="S808" s="4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ht="15.75" customHeight="1">
      <c r="A809" s="2"/>
      <c r="B809" s="2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2"/>
      <c r="N809" s="2"/>
      <c r="O809" s="2"/>
      <c r="P809" s="2"/>
      <c r="Q809" s="2"/>
      <c r="R809" s="2"/>
      <c r="S809" s="4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 ht="15.75" customHeight="1">
      <c r="A810" s="2"/>
      <c r="B810" s="2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2"/>
      <c r="N810" s="2"/>
      <c r="O810" s="2"/>
      <c r="P810" s="2"/>
      <c r="Q810" s="2"/>
      <c r="R810" s="2"/>
      <c r="S810" s="4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15.75" customHeight="1">
      <c r="A811" s="2"/>
      <c r="B811" s="2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2"/>
      <c r="N811" s="2"/>
      <c r="O811" s="2"/>
      <c r="P811" s="2"/>
      <c r="Q811" s="2"/>
      <c r="R811" s="2"/>
      <c r="S811" s="4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ht="15.75" customHeight="1">
      <c r="A812" s="2"/>
      <c r="B812" s="2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2"/>
      <c r="N812" s="2"/>
      <c r="O812" s="2"/>
      <c r="P812" s="2"/>
      <c r="Q812" s="2"/>
      <c r="R812" s="2"/>
      <c r="S812" s="4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ht="15.75" customHeight="1">
      <c r="A813" s="2"/>
      <c r="B813" s="2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2"/>
      <c r="N813" s="2"/>
      <c r="O813" s="2"/>
      <c r="P813" s="2"/>
      <c r="Q813" s="2"/>
      <c r="R813" s="2"/>
      <c r="S813" s="4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ht="15.75" customHeight="1">
      <c r="A814" s="2"/>
      <c r="B814" s="2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2"/>
      <c r="N814" s="2"/>
      <c r="O814" s="2"/>
      <c r="P814" s="2"/>
      <c r="Q814" s="2"/>
      <c r="R814" s="2"/>
      <c r="S814" s="4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ht="15.75" customHeight="1">
      <c r="A815" s="2"/>
      <c r="B815" s="2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2"/>
      <c r="N815" s="2"/>
      <c r="O815" s="2"/>
      <c r="P815" s="2"/>
      <c r="Q815" s="2"/>
      <c r="R815" s="2"/>
      <c r="S815" s="4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ht="15.75" customHeight="1">
      <c r="A816" s="2"/>
      <c r="B816" s="2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2"/>
      <c r="N816" s="2"/>
      <c r="O816" s="2"/>
      <c r="P816" s="2"/>
      <c r="Q816" s="2"/>
      <c r="R816" s="2"/>
      <c r="S816" s="4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 ht="15.75" customHeight="1">
      <c r="A817" s="2"/>
      <c r="B817" s="2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2"/>
      <c r="N817" s="2"/>
      <c r="O817" s="2"/>
      <c r="P817" s="2"/>
      <c r="Q817" s="2"/>
      <c r="R817" s="2"/>
      <c r="S817" s="4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ht="15.75" customHeight="1">
      <c r="A818" s="2"/>
      <c r="B818" s="2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2"/>
      <c r="N818" s="2"/>
      <c r="O818" s="2"/>
      <c r="P818" s="2"/>
      <c r="Q818" s="2"/>
      <c r="R818" s="2"/>
      <c r="S818" s="4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ht="15.75" customHeight="1">
      <c r="A819" s="2"/>
      <c r="B819" s="2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2"/>
      <c r="N819" s="2"/>
      <c r="O819" s="2"/>
      <c r="P819" s="2"/>
      <c r="Q819" s="2"/>
      <c r="R819" s="2"/>
      <c r="S819" s="4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ht="15.75" customHeight="1">
      <c r="A820" s="2"/>
      <c r="B820" s="2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2"/>
      <c r="N820" s="2"/>
      <c r="O820" s="2"/>
      <c r="P820" s="2"/>
      <c r="Q820" s="2"/>
      <c r="R820" s="2"/>
      <c r="S820" s="4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ht="15.75" customHeight="1">
      <c r="A821" s="2"/>
      <c r="B821" s="2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2"/>
      <c r="N821" s="2"/>
      <c r="O821" s="2"/>
      <c r="P821" s="2"/>
      <c r="Q821" s="2"/>
      <c r="R821" s="2"/>
      <c r="S821" s="4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ht="15.75" customHeight="1">
      <c r="A822" s="2"/>
      <c r="B822" s="2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2"/>
      <c r="N822" s="2"/>
      <c r="O822" s="2"/>
      <c r="P822" s="2"/>
      <c r="Q822" s="2"/>
      <c r="R822" s="2"/>
      <c r="S822" s="4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ht="15.75" customHeight="1">
      <c r="A823" s="2"/>
      <c r="B823" s="2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2"/>
      <c r="N823" s="2"/>
      <c r="O823" s="2"/>
      <c r="P823" s="2"/>
      <c r="Q823" s="2"/>
      <c r="R823" s="2"/>
      <c r="S823" s="4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15.75" customHeight="1">
      <c r="A824" s="2"/>
      <c r="B824" s="2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2"/>
      <c r="N824" s="2"/>
      <c r="O824" s="2"/>
      <c r="P824" s="2"/>
      <c r="Q824" s="2"/>
      <c r="R824" s="2"/>
      <c r="S824" s="4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 ht="15.75" customHeight="1">
      <c r="A825" s="2"/>
      <c r="B825" s="2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2"/>
      <c r="N825" s="2"/>
      <c r="O825" s="2"/>
      <c r="P825" s="2"/>
      <c r="Q825" s="2"/>
      <c r="R825" s="2"/>
      <c r="S825" s="4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ht="15.75" customHeight="1">
      <c r="A826" s="2"/>
      <c r="B826" s="2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2"/>
      <c r="N826" s="2"/>
      <c r="O826" s="2"/>
      <c r="P826" s="2"/>
      <c r="Q826" s="2"/>
      <c r="R826" s="2"/>
      <c r="S826" s="4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ht="15.75" customHeight="1">
      <c r="A827" s="2"/>
      <c r="B827" s="2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2"/>
      <c r="N827" s="2"/>
      <c r="O827" s="2"/>
      <c r="P827" s="2"/>
      <c r="Q827" s="2"/>
      <c r="R827" s="2"/>
      <c r="S827" s="4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ht="15.75" customHeight="1">
      <c r="A828" s="2"/>
      <c r="B828" s="2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2"/>
      <c r="N828" s="2"/>
      <c r="O828" s="2"/>
      <c r="P828" s="2"/>
      <c r="Q828" s="2"/>
      <c r="R828" s="2"/>
      <c r="S828" s="4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ht="15.75" customHeight="1">
      <c r="A829" s="2"/>
      <c r="B829" s="2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2"/>
      <c r="N829" s="2"/>
      <c r="O829" s="2"/>
      <c r="P829" s="2"/>
      <c r="Q829" s="2"/>
      <c r="R829" s="2"/>
      <c r="S829" s="4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ht="15.75" customHeight="1">
      <c r="A830" s="2"/>
      <c r="B830" s="2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2"/>
      <c r="N830" s="2"/>
      <c r="O830" s="2"/>
      <c r="P830" s="2"/>
      <c r="Q830" s="2"/>
      <c r="R830" s="2"/>
      <c r="S830" s="4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</row>
    <row r="831" ht="15.75" customHeight="1">
      <c r="A831" s="2"/>
      <c r="B831" s="2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2"/>
      <c r="N831" s="2"/>
      <c r="O831" s="2"/>
      <c r="P831" s="2"/>
      <c r="Q831" s="2"/>
      <c r="R831" s="2"/>
      <c r="S831" s="4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ht="15.75" customHeight="1">
      <c r="A832" s="2"/>
      <c r="B832" s="2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2"/>
      <c r="N832" s="2"/>
      <c r="O832" s="2"/>
      <c r="P832" s="2"/>
      <c r="Q832" s="2"/>
      <c r="R832" s="2"/>
      <c r="S832" s="4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 ht="15.75" customHeight="1">
      <c r="A833" s="2"/>
      <c r="B833" s="2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2"/>
      <c r="N833" s="2"/>
      <c r="O833" s="2"/>
      <c r="P833" s="2"/>
      <c r="Q833" s="2"/>
      <c r="R833" s="2"/>
      <c r="S833" s="4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ht="15.75" customHeight="1">
      <c r="A834" s="2"/>
      <c r="B834" s="2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2"/>
      <c r="N834" s="2"/>
      <c r="O834" s="2"/>
      <c r="P834" s="2"/>
      <c r="Q834" s="2"/>
      <c r="R834" s="2"/>
      <c r="S834" s="4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 ht="15.75" customHeight="1">
      <c r="A835" s="2"/>
      <c r="B835" s="2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2"/>
      <c r="N835" s="2"/>
      <c r="O835" s="2"/>
      <c r="P835" s="2"/>
      <c r="Q835" s="2"/>
      <c r="R835" s="2"/>
      <c r="S835" s="4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 ht="15.75" customHeight="1">
      <c r="A836" s="2"/>
      <c r="B836" s="2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2"/>
      <c r="N836" s="2"/>
      <c r="O836" s="2"/>
      <c r="P836" s="2"/>
      <c r="Q836" s="2"/>
      <c r="R836" s="2"/>
      <c r="S836" s="4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ht="15.75" customHeight="1">
      <c r="A837" s="2"/>
      <c r="B837" s="2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2"/>
      <c r="N837" s="2"/>
      <c r="O837" s="2"/>
      <c r="P837" s="2"/>
      <c r="Q837" s="2"/>
      <c r="R837" s="2"/>
      <c r="S837" s="4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ht="15.75" customHeight="1">
      <c r="A838" s="2"/>
      <c r="B838" s="2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2"/>
      <c r="N838" s="2"/>
      <c r="O838" s="2"/>
      <c r="P838" s="2"/>
      <c r="Q838" s="2"/>
      <c r="R838" s="2"/>
      <c r="S838" s="4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ht="15.75" customHeight="1">
      <c r="A839" s="2"/>
      <c r="B839" s="2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2"/>
      <c r="N839" s="2"/>
      <c r="O839" s="2"/>
      <c r="P839" s="2"/>
      <c r="Q839" s="2"/>
      <c r="R839" s="2"/>
      <c r="S839" s="4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ht="15.75" customHeight="1">
      <c r="A840" s="2"/>
      <c r="B840" s="2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2"/>
      <c r="N840" s="2"/>
      <c r="O840" s="2"/>
      <c r="P840" s="2"/>
      <c r="Q840" s="2"/>
      <c r="R840" s="2"/>
      <c r="S840" s="4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ht="15.75" customHeight="1">
      <c r="A841" s="2"/>
      <c r="B841" s="2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2"/>
      <c r="N841" s="2"/>
      <c r="O841" s="2"/>
      <c r="P841" s="2"/>
      <c r="Q841" s="2"/>
      <c r="R841" s="2"/>
      <c r="S841" s="4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 ht="15.75" customHeight="1">
      <c r="A842" s="2"/>
      <c r="B842" s="2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2"/>
      <c r="N842" s="2"/>
      <c r="O842" s="2"/>
      <c r="P842" s="2"/>
      <c r="Q842" s="2"/>
      <c r="R842" s="2"/>
      <c r="S842" s="4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ht="15.75" customHeight="1">
      <c r="A843" s="2"/>
      <c r="B843" s="2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2"/>
      <c r="N843" s="2"/>
      <c r="O843" s="2"/>
      <c r="P843" s="2"/>
      <c r="Q843" s="2"/>
      <c r="R843" s="2"/>
      <c r="S843" s="4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ht="15.75" customHeight="1">
      <c r="A844" s="2"/>
      <c r="B844" s="2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2"/>
      <c r="N844" s="2"/>
      <c r="O844" s="2"/>
      <c r="P844" s="2"/>
      <c r="Q844" s="2"/>
      <c r="R844" s="2"/>
      <c r="S844" s="4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 ht="15.75" customHeight="1">
      <c r="A845" s="2"/>
      <c r="B845" s="2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2"/>
      <c r="N845" s="2"/>
      <c r="O845" s="2"/>
      <c r="P845" s="2"/>
      <c r="Q845" s="2"/>
      <c r="R845" s="2"/>
      <c r="S845" s="4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ht="15.75" customHeight="1">
      <c r="A846" s="2"/>
      <c r="B846" s="2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2"/>
      <c r="N846" s="2"/>
      <c r="O846" s="2"/>
      <c r="P846" s="2"/>
      <c r="Q846" s="2"/>
      <c r="R846" s="2"/>
      <c r="S846" s="4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ht="15.75" customHeight="1">
      <c r="A847" s="2"/>
      <c r="B847" s="2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2"/>
      <c r="N847" s="2"/>
      <c r="O847" s="2"/>
      <c r="P847" s="2"/>
      <c r="Q847" s="2"/>
      <c r="R847" s="2"/>
      <c r="S847" s="4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ht="15.75" customHeight="1">
      <c r="A848" s="2"/>
      <c r="B848" s="2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2"/>
      <c r="N848" s="2"/>
      <c r="O848" s="2"/>
      <c r="P848" s="2"/>
      <c r="Q848" s="2"/>
      <c r="R848" s="2"/>
      <c r="S848" s="4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ht="15.75" customHeight="1">
      <c r="A849" s="2"/>
      <c r="B849" s="2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2"/>
      <c r="N849" s="2"/>
      <c r="O849" s="2"/>
      <c r="P849" s="2"/>
      <c r="Q849" s="2"/>
      <c r="R849" s="2"/>
      <c r="S849" s="4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 ht="15.75" customHeight="1">
      <c r="A850" s="2"/>
      <c r="B850" s="2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2"/>
      <c r="N850" s="2"/>
      <c r="O850" s="2"/>
      <c r="P850" s="2"/>
      <c r="Q850" s="2"/>
      <c r="R850" s="2"/>
      <c r="S850" s="4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ht="15.75" customHeight="1">
      <c r="A851" s="2"/>
      <c r="B851" s="2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2"/>
      <c r="N851" s="2"/>
      <c r="O851" s="2"/>
      <c r="P851" s="2"/>
      <c r="Q851" s="2"/>
      <c r="R851" s="2"/>
      <c r="S851" s="4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ht="15.75" customHeight="1">
      <c r="A852" s="2"/>
      <c r="B852" s="2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2"/>
      <c r="N852" s="2"/>
      <c r="O852" s="2"/>
      <c r="P852" s="2"/>
      <c r="Q852" s="2"/>
      <c r="R852" s="2"/>
      <c r="S852" s="4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ht="15.75" customHeight="1">
      <c r="A853" s="2"/>
      <c r="B853" s="2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2"/>
      <c r="N853" s="2"/>
      <c r="O853" s="2"/>
      <c r="P853" s="2"/>
      <c r="Q853" s="2"/>
      <c r="R853" s="2"/>
      <c r="S853" s="4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ht="15.75" customHeight="1">
      <c r="A854" s="2"/>
      <c r="B854" s="2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2"/>
      <c r="N854" s="2"/>
      <c r="O854" s="2"/>
      <c r="P854" s="2"/>
      <c r="Q854" s="2"/>
      <c r="R854" s="2"/>
      <c r="S854" s="4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</row>
    <row r="855" ht="15.75" customHeight="1">
      <c r="A855" s="2"/>
      <c r="B855" s="2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2"/>
      <c r="N855" s="2"/>
      <c r="O855" s="2"/>
      <c r="P855" s="2"/>
      <c r="Q855" s="2"/>
      <c r="R855" s="2"/>
      <c r="S855" s="4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ht="15.75" customHeight="1">
      <c r="A856" s="2"/>
      <c r="B856" s="2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2"/>
      <c r="N856" s="2"/>
      <c r="O856" s="2"/>
      <c r="P856" s="2"/>
      <c r="Q856" s="2"/>
      <c r="R856" s="2"/>
      <c r="S856" s="4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ht="15.75" customHeight="1">
      <c r="A857" s="2"/>
      <c r="B857" s="2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2"/>
      <c r="N857" s="2"/>
      <c r="O857" s="2"/>
      <c r="P857" s="2"/>
      <c r="Q857" s="2"/>
      <c r="R857" s="2"/>
      <c r="S857" s="4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ht="15.75" customHeight="1">
      <c r="A858" s="2"/>
      <c r="B858" s="2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2"/>
      <c r="N858" s="2"/>
      <c r="O858" s="2"/>
      <c r="P858" s="2"/>
      <c r="Q858" s="2"/>
      <c r="R858" s="2"/>
      <c r="S858" s="4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ht="15.75" customHeight="1">
      <c r="A859" s="2"/>
      <c r="B859" s="2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2"/>
      <c r="N859" s="2"/>
      <c r="O859" s="2"/>
      <c r="P859" s="2"/>
      <c r="Q859" s="2"/>
      <c r="R859" s="2"/>
      <c r="S859" s="4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ht="15.75" customHeight="1">
      <c r="A860" s="2"/>
      <c r="B860" s="2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2"/>
      <c r="N860" s="2"/>
      <c r="O860" s="2"/>
      <c r="P860" s="2"/>
      <c r="Q860" s="2"/>
      <c r="R860" s="2"/>
      <c r="S860" s="4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ht="15.75" customHeight="1">
      <c r="A861" s="2"/>
      <c r="B861" s="2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2"/>
      <c r="N861" s="2"/>
      <c r="O861" s="2"/>
      <c r="P861" s="2"/>
      <c r="Q861" s="2"/>
      <c r="R861" s="2"/>
      <c r="S861" s="4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ht="15.75" customHeight="1">
      <c r="A862" s="2"/>
      <c r="B862" s="2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2"/>
      <c r="N862" s="2"/>
      <c r="O862" s="2"/>
      <c r="P862" s="2"/>
      <c r="Q862" s="2"/>
      <c r="R862" s="2"/>
      <c r="S862" s="4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ht="15.75" customHeight="1">
      <c r="A863" s="2"/>
      <c r="B863" s="2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2"/>
      <c r="N863" s="2"/>
      <c r="O863" s="2"/>
      <c r="P863" s="2"/>
      <c r="Q863" s="2"/>
      <c r="R863" s="2"/>
      <c r="S863" s="4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15.75" customHeight="1">
      <c r="A864" s="2"/>
      <c r="B864" s="2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2"/>
      <c r="N864" s="2"/>
      <c r="O864" s="2"/>
      <c r="P864" s="2"/>
      <c r="Q864" s="2"/>
      <c r="R864" s="2"/>
      <c r="S864" s="4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ht="15.75" customHeight="1">
      <c r="A865" s="2"/>
      <c r="B865" s="2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2"/>
      <c r="N865" s="2"/>
      <c r="O865" s="2"/>
      <c r="P865" s="2"/>
      <c r="Q865" s="2"/>
      <c r="R865" s="2"/>
      <c r="S865" s="4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 ht="15.75" customHeight="1">
      <c r="A866" s="2"/>
      <c r="B866" s="2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2"/>
      <c r="N866" s="2"/>
      <c r="O866" s="2"/>
      <c r="P866" s="2"/>
      <c r="Q866" s="2"/>
      <c r="R866" s="2"/>
      <c r="S866" s="4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 ht="15.75" customHeight="1">
      <c r="A867" s="2"/>
      <c r="B867" s="2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2"/>
      <c r="N867" s="2"/>
      <c r="O867" s="2"/>
      <c r="P867" s="2"/>
      <c r="Q867" s="2"/>
      <c r="R867" s="2"/>
      <c r="S867" s="4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 ht="15.75" customHeight="1">
      <c r="A868" s="2"/>
      <c r="B868" s="2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2"/>
      <c r="N868" s="2"/>
      <c r="O868" s="2"/>
      <c r="P868" s="2"/>
      <c r="Q868" s="2"/>
      <c r="R868" s="2"/>
      <c r="S868" s="4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 ht="15.75" customHeight="1">
      <c r="A869" s="2"/>
      <c r="B869" s="2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2"/>
      <c r="N869" s="2"/>
      <c r="O869" s="2"/>
      <c r="P869" s="2"/>
      <c r="Q869" s="2"/>
      <c r="R869" s="2"/>
      <c r="S869" s="4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ht="15.75" customHeight="1">
      <c r="A870" s="2"/>
      <c r="B870" s="2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2"/>
      <c r="N870" s="2"/>
      <c r="O870" s="2"/>
      <c r="P870" s="2"/>
      <c r="Q870" s="2"/>
      <c r="R870" s="2"/>
      <c r="S870" s="4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 ht="15.75" customHeight="1">
      <c r="A871" s="2"/>
      <c r="B871" s="2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2"/>
      <c r="N871" s="2"/>
      <c r="O871" s="2"/>
      <c r="P871" s="2"/>
      <c r="Q871" s="2"/>
      <c r="R871" s="2"/>
      <c r="S871" s="4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</row>
    <row r="872" ht="15.75" customHeight="1">
      <c r="A872" s="2"/>
      <c r="B872" s="2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2"/>
      <c r="N872" s="2"/>
      <c r="O872" s="2"/>
      <c r="P872" s="2"/>
      <c r="Q872" s="2"/>
      <c r="R872" s="2"/>
      <c r="S872" s="4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ht="15.75" customHeight="1">
      <c r="A873" s="2"/>
      <c r="B873" s="2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2"/>
      <c r="N873" s="2"/>
      <c r="O873" s="2"/>
      <c r="P873" s="2"/>
      <c r="Q873" s="2"/>
      <c r="R873" s="2"/>
      <c r="S873" s="4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ht="15.75" customHeight="1">
      <c r="A874" s="2"/>
      <c r="B874" s="2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2"/>
      <c r="N874" s="2"/>
      <c r="O874" s="2"/>
      <c r="P874" s="2"/>
      <c r="Q874" s="2"/>
      <c r="R874" s="2"/>
      <c r="S874" s="4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ht="15.75" customHeight="1">
      <c r="A875" s="2"/>
      <c r="B875" s="2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2"/>
      <c r="N875" s="2"/>
      <c r="O875" s="2"/>
      <c r="P875" s="2"/>
      <c r="Q875" s="2"/>
      <c r="R875" s="2"/>
      <c r="S875" s="4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ht="15.75" customHeight="1">
      <c r="A876" s="2"/>
      <c r="B876" s="2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2"/>
      <c r="N876" s="2"/>
      <c r="O876" s="2"/>
      <c r="P876" s="2"/>
      <c r="Q876" s="2"/>
      <c r="R876" s="2"/>
      <c r="S876" s="4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 ht="15.75" customHeight="1">
      <c r="A877" s="2"/>
      <c r="B877" s="2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2"/>
      <c r="N877" s="2"/>
      <c r="O877" s="2"/>
      <c r="P877" s="2"/>
      <c r="Q877" s="2"/>
      <c r="R877" s="2"/>
      <c r="S877" s="4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ht="15.75" customHeight="1">
      <c r="A878" s="2"/>
      <c r="B878" s="2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2"/>
      <c r="N878" s="2"/>
      <c r="O878" s="2"/>
      <c r="P878" s="2"/>
      <c r="Q878" s="2"/>
      <c r="R878" s="2"/>
      <c r="S878" s="4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 ht="15.75" customHeight="1">
      <c r="A879" s="2"/>
      <c r="B879" s="2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2"/>
      <c r="N879" s="2"/>
      <c r="O879" s="2"/>
      <c r="P879" s="2"/>
      <c r="Q879" s="2"/>
      <c r="R879" s="2"/>
      <c r="S879" s="4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ht="15.75" customHeight="1">
      <c r="A880" s="2"/>
      <c r="B880" s="2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2"/>
      <c r="N880" s="2"/>
      <c r="O880" s="2"/>
      <c r="P880" s="2"/>
      <c r="Q880" s="2"/>
      <c r="R880" s="2"/>
      <c r="S880" s="4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ht="15.75" customHeight="1">
      <c r="A881" s="2"/>
      <c r="B881" s="2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2"/>
      <c r="N881" s="2"/>
      <c r="O881" s="2"/>
      <c r="P881" s="2"/>
      <c r="Q881" s="2"/>
      <c r="R881" s="2"/>
      <c r="S881" s="4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ht="15.75" customHeight="1">
      <c r="A882" s="2"/>
      <c r="B882" s="2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2"/>
      <c r="N882" s="2"/>
      <c r="O882" s="2"/>
      <c r="P882" s="2"/>
      <c r="Q882" s="2"/>
      <c r="R882" s="2"/>
      <c r="S882" s="4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ht="15.75" customHeight="1">
      <c r="A883" s="2"/>
      <c r="B883" s="2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2"/>
      <c r="N883" s="2"/>
      <c r="O883" s="2"/>
      <c r="P883" s="2"/>
      <c r="Q883" s="2"/>
      <c r="R883" s="2"/>
      <c r="S883" s="4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ht="15.75" customHeight="1">
      <c r="A884" s="2"/>
      <c r="B884" s="2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2"/>
      <c r="N884" s="2"/>
      <c r="O884" s="2"/>
      <c r="P884" s="2"/>
      <c r="Q884" s="2"/>
      <c r="R884" s="2"/>
      <c r="S884" s="4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ht="15.75" customHeight="1">
      <c r="A885" s="2"/>
      <c r="B885" s="2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2"/>
      <c r="N885" s="2"/>
      <c r="O885" s="2"/>
      <c r="P885" s="2"/>
      <c r="Q885" s="2"/>
      <c r="R885" s="2"/>
      <c r="S885" s="4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ht="15.75" customHeight="1">
      <c r="A886" s="2"/>
      <c r="B886" s="2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2"/>
      <c r="N886" s="2"/>
      <c r="O886" s="2"/>
      <c r="P886" s="2"/>
      <c r="Q886" s="2"/>
      <c r="R886" s="2"/>
      <c r="S886" s="4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ht="15.75" customHeight="1">
      <c r="A887" s="2"/>
      <c r="B887" s="2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2"/>
      <c r="N887" s="2"/>
      <c r="O887" s="2"/>
      <c r="P887" s="2"/>
      <c r="Q887" s="2"/>
      <c r="R887" s="2"/>
      <c r="S887" s="4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ht="15.75" customHeight="1">
      <c r="A888" s="2"/>
      <c r="B888" s="2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2"/>
      <c r="N888" s="2"/>
      <c r="O888" s="2"/>
      <c r="P888" s="2"/>
      <c r="Q888" s="2"/>
      <c r="R888" s="2"/>
      <c r="S888" s="4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 ht="15.75" customHeight="1">
      <c r="A889" s="2"/>
      <c r="B889" s="2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2"/>
      <c r="N889" s="2"/>
      <c r="O889" s="2"/>
      <c r="P889" s="2"/>
      <c r="Q889" s="2"/>
      <c r="R889" s="2"/>
      <c r="S889" s="4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ht="15.75" customHeight="1">
      <c r="A890" s="2"/>
      <c r="B890" s="2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2"/>
      <c r="N890" s="2"/>
      <c r="O890" s="2"/>
      <c r="P890" s="2"/>
      <c r="Q890" s="2"/>
      <c r="R890" s="2"/>
      <c r="S890" s="4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ht="15.75" customHeight="1">
      <c r="A891" s="2"/>
      <c r="B891" s="2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2"/>
      <c r="N891" s="2"/>
      <c r="O891" s="2"/>
      <c r="P891" s="2"/>
      <c r="Q891" s="2"/>
      <c r="R891" s="2"/>
      <c r="S891" s="4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ht="15.75" customHeight="1">
      <c r="A892" s="2"/>
      <c r="B892" s="2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2"/>
      <c r="N892" s="2"/>
      <c r="O892" s="2"/>
      <c r="P892" s="2"/>
      <c r="Q892" s="2"/>
      <c r="R892" s="2"/>
      <c r="S892" s="4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ht="15.75" customHeight="1">
      <c r="A893" s="2"/>
      <c r="B893" s="2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2"/>
      <c r="N893" s="2"/>
      <c r="O893" s="2"/>
      <c r="P893" s="2"/>
      <c r="Q893" s="2"/>
      <c r="R893" s="2"/>
      <c r="S893" s="4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ht="15.75" customHeight="1">
      <c r="A894" s="2"/>
      <c r="B894" s="2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2"/>
      <c r="N894" s="2"/>
      <c r="O894" s="2"/>
      <c r="P894" s="2"/>
      <c r="Q894" s="2"/>
      <c r="R894" s="2"/>
      <c r="S894" s="4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 ht="15.75" customHeight="1">
      <c r="A895" s="2"/>
      <c r="B895" s="2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2"/>
      <c r="N895" s="2"/>
      <c r="O895" s="2"/>
      <c r="P895" s="2"/>
      <c r="Q895" s="2"/>
      <c r="R895" s="2"/>
      <c r="S895" s="4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15.75" customHeight="1">
      <c r="A896" s="2"/>
      <c r="B896" s="2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2"/>
      <c r="N896" s="2"/>
      <c r="O896" s="2"/>
      <c r="P896" s="2"/>
      <c r="Q896" s="2"/>
      <c r="R896" s="2"/>
      <c r="S896" s="4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 ht="15.75" customHeight="1">
      <c r="A897" s="2"/>
      <c r="B897" s="2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2"/>
      <c r="N897" s="2"/>
      <c r="O897" s="2"/>
      <c r="P897" s="2"/>
      <c r="Q897" s="2"/>
      <c r="R897" s="2"/>
      <c r="S897" s="4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ht="15.75" customHeight="1">
      <c r="A898" s="2"/>
      <c r="B898" s="2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2"/>
      <c r="N898" s="2"/>
      <c r="O898" s="2"/>
      <c r="P898" s="2"/>
      <c r="Q898" s="2"/>
      <c r="R898" s="2"/>
      <c r="S898" s="4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ht="15.75" customHeight="1">
      <c r="A899" s="2"/>
      <c r="B899" s="2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2"/>
      <c r="N899" s="2"/>
      <c r="O899" s="2"/>
      <c r="P899" s="2"/>
      <c r="Q899" s="2"/>
      <c r="R899" s="2"/>
      <c r="S899" s="4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ht="15.75" customHeight="1">
      <c r="A900" s="2"/>
      <c r="B900" s="2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2"/>
      <c r="N900" s="2"/>
      <c r="O900" s="2"/>
      <c r="P900" s="2"/>
      <c r="Q900" s="2"/>
      <c r="R900" s="2"/>
      <c r="S900" s="4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ht="15.75" customHeight="1">
      <c r="A901" s="2"/>
      <c r="B901" s="2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2"/>
      <c r="N901" s="2"/>
      <c r="O901" s="2"/>
      <c r="P901" s="2"/>
      <c r="Q901" s="2"/>
      <c r="R901" s="2"/>
      <c r="S901" s="4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ht="15.75" customHeight="1">
      <c r="A902" s="2"/>
      <c r="B902" s="2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2"/>
      <c r="N902" s="2"/>
      <c r="O902" s="2"/>
      <c r="P902" s="2"/>
      <c r="Q902" s="2"/>
      <c r="R902" s="2"/>
      <c r="S902" s="4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ht="15.75" customHeight="1">
      <c r="A903" s="2"/>
      <c r="B903" s="2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2"/>
      <c r="N903" s="2"/>
      <c r="O903" s="2"/>
      <c r="P903" s="2"/>
      <c r="Q903" s="2"/>
      <c r="R903" s="2"/>
      <c r="S903" s="4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ht="15.75" customHeight="1">
      <c r="A904" s="2"/>
      <c r="B904" s="2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2"/>
      <c r="N904" s="2"/>
      <c r="O904" s="2"/>
      <c r="P904" s="2"/>
      <c r="Q904" s="2"/>
      <c r="R904" s="2"/>
      <c r="S904" s="4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ht="15.75" customHeight="1">
      <c r="A905" s="2"/>
      <c r="B905" s="2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2"/>
      <c r="N905" s="2"/>
      <c r="O905" s="2"/>
      <c r="P905" s="2"/>
      <c r="Q905" s="2"/>
      <c r="R905" s="2"/>
      <c r="S905" s="4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ht="15.75" customHeight="1">
      <c r="A906" s="2"/>
      <c r="B906" s="2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2"/>
      <c r="N906" s="2"/>
      <c r="O906" s="2"/>
      <c r="P906" s="2"/>
      <c r="Q906" s="2"/>
      <c r="R906" s="2"/>
      <c r="S906" s="4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ht="15.75" customHeight="1">
      <c r="A907" s="2"/>
      <c r="B907" s="2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2"/>
      <c r="N907" s="2"/>
      <c r="O907" s="2"/>
      <c r="P907" s="2"/>
      <c r="Q907" s="2"/>
      <c r="R907" s="2"/>
      <c r="S907" s="4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ht="15.75" customHeight="1">
      <c r="A908" s="2"/>
      <c r="B908" s="2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2"/>
      <c r="N908" s="2"/>
      <c r="O908" s="2"/>
      <c r="P908" s="2"/>
      <c r="Q908" s="2"/>
      <c r="R908" s="2"/>
      <c r="S908" s="4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 ht="15.75" customHeight="1">
      <c r="A909" s="2"/>
      <c r="B909" s="2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2"/>
      <c r="N909" s="2"/>
      <c r="O909" s="2"/>
      <c r="P909" s="2"/>
      <c r="Q909" s="2"/>
      <c r="R909" s="2"/>
      <c r="S909" s="4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 ht="15.75" customHeight="1">
      <c r="A910" s="2"/>
      <c r="B910" s="2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2"/>
      <c r="N910" s="2"/>
      <c r="O910" s="2"/>
      <c r="P910" s="2"/>
      <c r="Q910" s="2"/>
      <c r="R910" s="2"/>
      <c r="S910" s="4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 ht="15.75" customHeight="1">
      <c r="A911" s="2"/>
      <c r="B911" s="2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2"/>
      <c r="N911" s="2"/>
      <c r="O911" s="2"/>
      <c r="P911" s="2"/>
      <c r="Q911" s="2"/>
      <c r="R911" s="2"/>
      <c r="S911" s="4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ht="15.75" customHeight="1">
      <c r="A912" s="2"/>
      <c r="B912" s="2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2"/>
      <c r="N912" s="2"/>
      <c r="O912" s="2"/>
      <c r="P912" s="2"/>
      <c r="Q912" s="2"/>
      <c r="R912" s="2"/>
      <c r="S912" s="4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ht="15.75" customHeight="1">
      <c r="A913" s="2"/>
      <c r="B913" s="2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2"/>
      <c r="N913" s="2"/>
      <c r="O913" s="2"/>
      <c r="P913" s="2"/>
      <c r="Q913" s="2"/>
      <c r="R913" s="2"/>
      <c r="S913" s="4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ht="15.75" customHeight="1">
      <c r="A914" s="2"/>
      <c r="B914" s="2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2"/>
      <c r="N914" s="2"/>
      <c r="O914" s="2"/>
      <c r="P914" s="2"/>
      <c r="Q914" s="2"/>
      <c r="R914" s="2"/>
      <c r="S914" s="4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</row>
    <row r="915" ht="15.75" customHeight="1">
      <c r="A915" s="2"/>
      <c r="B915" s="2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2"/>
      <c r="N915" s="2"/>
      <c r="O915" s="2"/>
      <c r="P915" s="2"/>
      <c r="Q915" s="2"/>
      <c r="R915" s="2"/>
      <c r="S915" s="4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 ht="15.75" customHeight="1">
      <c r="A916" s="2"/>
      <c r="B916" s="2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2"/>
      <c r="N916" s="2"/>
      <c r="O916" s="2"/>
      <c r="P916" s="2"/>
      <c r="Q916" s="2"/>
      <c r="R916" s="2"/>
      <c r="S916" s="4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ht="15.75" customHeight="1">
      <c r="A917" s="2"/>
      <c r="B917" s="2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2"/>
      <c r="N917" s="2"/>
      <c r="O917" s="2"/>
      <c r="P917" s="2"/>
      <c r="Q917" s="2"/>
      <c r="R917" s="2"/>
      <c r="S917" s="4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15.75" customHeight="1">
      <c r="A918" s="2"/>
      <c r="B918" s="2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2"/>
      <c r="N918" s="2"/>
      <c r="O918" s="2"/>
      <c r="P918" s="2"/>
      <c r="Q918" s="2"/>
      <c r="R918" s="2"/>
      <c r="S918" s="4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ht="15.75" customHeight="1">
      <c r="A919" s="2"/>
      <c r="B919" s="2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2"/>
      <c r="N919" s="2"/>
      <c r="O919" s="2"/>
      <c r="P919" s="2"/>
      <c r="Q919" s="2"/>
      <c r="R919" s="2"/>
      <c r="S919" s="4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ht="15.75" customHeight="1">
      <c r="A920" s="2"/>
      <c r="B920" s="2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2"/>
      <c r="N920" s="2"/>
      <c r="O920" s="2"/>
      <c r="P920" s="2"/>
      <c r="Q920" s="2"/>
      <c r="R920" s="2"/>
      <c r="S920" s="4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ht="15.75" customHeight="1">
      <c r="A921" s="2"/>
      <c r="B921" s="2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2"/>
      <c r="N921" s="2"/>
      <c r="O921" s="2"/>
      <c r="P921" s="2"/>
      <c r="Q921" s="2"/>
      <c r="R921" s="2"/>
      <c r="S921" s="4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 ht="15.75" customHeight="1">
      <c r="A922" s="2"/>
      <c r="B922" s="2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2"/>
      <c r="N922" s="2"/>
      <c r="O922" s="2"/>
      <c r="P922" s="2"/>
      <c r="Q922" s="2"/>
      <c r="R922" s="2"/>
      <c r="S922" s="4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ht="15.75" customHeight="1">
      <c r="A923" s="2"/>
      <c r="B923" s="2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2"/>
      <c r="N923" s="2"/>
      <c r="O923" s="2"/>
      <c r="P923" s="2"/>
      <c r="Q923" s="2"/>
      <c r="R923" s="2"/>
      <c r="S923" s="4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ht="15.75" customHeight="1">
      <c r="A924" s="2"/>
      <c r="B924" s="2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2"/>
      <c r="N924" s="2"/>
      <c r="O924" s="2"/>
      <c r="P924" s="2"/>
      <c r="Q924" s="2"/>
      <c r="R924" s="2"/>
      <c r="S924" s="4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15.75" customHeight="1">
      <c r="A925" s="2"/>
      <c r="B925" s="2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2"/>
      <c r="N925" s="2"/>
      <c r="O925" s="2"/>
      <c r="P925" s="2"/>
      <c r="Q925" s="2"/>
      <c r="R925" s="2"/>
      <c r="S925" s="4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15.75" customHeight="1">
      <c r="A926" s="2"/>
      <c r="B926" s="2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2"/>
      <c r="N926" s="2"/>
      <c r="O926" s="2"/>
      <c r="P926" s="2"/>
      <c r="Q926" s="2"/>
      <c r="R926" s="2"/>
      <c r="S926" s="4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ht="15.75" customHeight="1">
      <c r="A927" s="2"/>
      <c r="B927" s="2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2"/>
      <c r="N927" s="2"/>
      <c r="O927" s="2"/>
      <c r="P927" s="2"/>
      <c r="Q927" s="2"/>
      <c r="R927" s="2"/>
      <c r="S927" s="4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ht="15.75" customHeight="1">
      <c r="A928" s="2"/>
      <c r="B928" s="2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2"/>
      <c r="N928" s="2"/>
      <c r="O928" s="2"/>
      <c r="P928" s="2"/>
      <c r="Q928" s="2"/>
      <c r="R928" s="2"/>
      <c r="S928" s="4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 ht="15.75" customHeight="1">
      <c r="A929" s="2"/>
      <c r="B929" s="2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2"/>
      <c r="N929" s="2"/>
      <c r="O929" s="2"/>
      <c r="P929" s="2"/>
      <c r="Q929" s="2"/>
      <c r="R929" s="2"/>
      <c r="S929" s="4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ht="15.75" customHeight="1">
      <c r="A930" s="2"/>
      <c r="B930" s="2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2"/>
      <c r="N930" s="2"/>
      <c r="O930" s="2"/>
      <c r="P930" s="2"/>
      <c r="Q930" s="2"/>
      <c r="R930" s="2"/>
      <c r="S930" s="4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ht="15.75" customHeight="1">
      <c r="A931" s="2"/>
      <c r="B931" s="2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2"/>
      <c r="N931" s="2"/>
      <c r="O931" s="2"/>
      <c r="P931" s="2"/>
      <c r="Q931" s="2"/>
      <c r="R931" s="2"/>
      <c r="S931" s="4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ht="15.75" customHeight="1">
      <c r="A932" s="2"/>
      <c r="B932" s="2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2"/>
      <c r="N932" s="2"/>
      <c r="O932" s="2"/>
      <c r="P932" s="2"/>
      <c r="Q932" s="2"/>
      <c r="R932" s="2"/>
      <c r="S932" s="4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ht="15.75" customHeight="1">
      <c r="A933" s="2"/>
      <c r="B933" s="2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2"/>
      <c r="N933" s="2"/>
      <c r="O933" s="2"/>
      <c r="P933" s="2"/>
      <c r="Q933" s="2"/>
      <c r="R933" s="2"/>
      <c r="S933" s="4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ht="15.75" customHeight="1">
      <c r="A934" s="2"/>
      <c r="B934" s="2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2"/>
      <c r="N934" s="2"/>
      <c r="O934" s="2"/>
      <c r="P934" s="2"/>
      <c r="Q934" s="2"/>
      <c r="R934" s="2"/>
      <c r="S934" s="4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</row>
    <row r="935" ht="15.75" customHeight="1">
      <c r="A935" s="2"/>
      <c r="B935" s="2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2"/>
      <c r="N935" s="2"/>
      <c r="O935" s="2"/>
      <c r="P935" s="2"/>
      <c r="Q935" s="2"/>
      <c r="R935" s="2"/>
      <c r="S935" s="4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</row>
    <row r="936" ht="15.75" customHeight="1">
      <c r="A936" s="2"/>
      <c r="B936" s="2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2"/>
      <c r="N936" s="2"/>
      <c r="O936" s="2"/>
      <c r="P936" s="2"/>
      <c r="Q936" s="2"/>
      <c r="R936" s="2"/>
      <c r="S936" s="4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ht="15.75" customHeight="1">
      <c r="A937" s="2"/>
      <c r="B937" s="2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2"/>
      <c r="N937" s="2"/>
      <c r="O937" s="2"/>
      <c r="P937" s="2"/>
      <c r="Q937" s="2"/>
      <c r="R937" s="2"/>
      <c r="S937" s="4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ht="15.75" customHeight="1">
      <c r="A938" s="2"/>
      <c r="B938" s="2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2"/>
      <c r="N938" s="2"/>
      <c r="O938" s="2"/>
      <c r="P938" s="2"/>
      <c r="Q938" s="2"/>
      <c r="R938" s="2"/>
      <c r="S938" s="4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ht="15.75" customHeight="1">
      <c r="A939" s="2"/>
      <c r="B939" s="2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2"/>
      <c r="N939" s="2"/>
      <c r="O939" s="2"/>
      <c r="P939" s="2"/>
      <c r="Q939" s="2"/>
      <c r="R939" s="2"/>
      <c r="S939" s="4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ht="15.75" customHeight="1">
      <c r="A940" s="2"/>
      <c r="B940" s="2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2"/>
      <c r="N940" s="2"/>
      <c r="O940" s="2"/>
      <c r="P940" s="2"/>
      <c r="Q940" s="2"/>
      <c r="R940" s="2"/>
      <c r="S940" s="4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ht="15.75" customHeight="1">
      <c r="A941" s="2"/>
      <c r="B941" s="2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2"/>
      <c r="N941" s="2"/>
      <c r="O941" s="2"/>
      <c r="P941" s="2"/>
      <c r="Q941" s="2"/>
      <c r="R941" s="2"/>
      <c r="S941" s="4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ht="15.75" customHeight="1">
      <c r="A942" s="2"/>
      <c r="B942" s="2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2"/>
      <c r="N942" s="2"/>
      <c r="O942" s="2"/>
      <c r="P942" s="2"/>
      <c r="Q942" s="2"/>
      <c r="R942" s="2"/>
      <c r="S942" s="4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ht="15.75" customHeight="1">
      <c r="A943" s="2"/>
      <c r="B943" s="2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2"/>
      <c r="N943" s="2"/>
      <c r="O943" s="2"/>
      <c r="P943" s="2"/>
      <c r="Q943" s="2"/>
      <c r="R943" s="2"/>
      <c r="S943" s="4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ht="15.75" customHeight="1">
      <c r="A944" s="2"/>
      <c r="B944" s="2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2"/>
      <c r="N944" s="2"/>
      <c r="O944" s="2"/>
      <c r="P944" s="2"/>
      <c r="Q944" s="2"/>
      <c r="R944" s="2"/>
      <c r="S944" s="4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ht="15.75" customHeight="1">
      <c r="A945" s="2"/>
      <c r="B945" s="2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2"/>
      <c r="N945" s="2"/>
      <c r="O945" s="2"/>
      <c r="P945" s="2"/>
      <c r="Q945" s="2"/>
      <c r="R945" s="2"/>
      <c r="S945" s="4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</row>
    <row r="946" ht="15.75" customHeight="1">
      <c r="A946" s="2"/>
      <c r="B946" s="2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2"/>
      <c r="N946" s="2"/>
      <c r="O946" s="2"/>
      <c r="P946" s="2"/>
      <c r="Q946" s="2"/>
      <c r="R946" s="2"/>
      <c r="S946" s="4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ht="15.75" customHeight="1">
      <c r="A947" s="2"/>
      <c r="B947" s="2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2"/>
      <c r="N947" s="2"/>
      <c r="O947" s="2"/>
      <c r="P947" s="2"/>
      <c r="Q947" s="2"/>
      <c r="R947" s="2"/>
      <c r="S947" s="4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ht="15.75" customHeight="1">
      <c r="A948" s="2"/>
      <c r="B948" s="2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2"/>
      <c r="N948" s="2"/>
      <c r="O948" s="2"/>
      <c r="P948" s="2"/>
      <c r="Q948" s="2"/>
      <c r="R948" s="2"/>
      <c r="S948" s="4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ht="15.75" customHeight="1">
      <c r="A949" s="2"/>
      <c r="B949" s="2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2"/>
      <c r="N949" s="2"/>
      <c r="O949" s="2"/>
      <c r="P949" s="2"/>
      <c r="Q949" s="2"/>
      <c r="R949" s="2"/>
      <c r="S949" s="4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ht="15.75" customHeight="1">
      <c r="A950" s="2"/>
      <c r="B950" s="2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2"/>
      <c r="N950" s="2"/>
      <c r="O950" s="2"/>
      <c r="P950" s="2"/>
      <c r="Q950" s="2"/>
      <c r="R950" s="2"/>
      <c r="S950" s="4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ht="15.75" customHeight="1">
      <c r="A951" s="2"/>
      <c r="B951" s="2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2"/>
      <c r="N951" s="2"/>
      <c r="O951" s="2"/>
      <c r="P951" s="2"/>
      <c r="Q951" s="2"/>
      <c r="R951" s="2"/>
      <c r="S951" s="4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ht="15.75" customHeight="1">
      <c r="A952" s="2"/>
      <c r="B952" s="2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2"/>
      <c r="N952" s="2"/>
      <c r="O952" s="2"/>
      <c r="P952" s="2"/>
      <c r="Q952" s="2"/>
      <c r="R952" s="2"/>
      <c r="S952" s="4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ht="15.75" customHeight="1">
      <c r="A953" s="2"/>
      <c r="B953" s="2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2"/>
      <c r="N953" s="2"/>
      <c r="O953" s="2"/>
      <c r="P953" s="2"/>
      <c r="Q953" s="2"/>
      <c r="R953" s="2"/>
      <c r="S953" s="4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</row>
    <row r="954" ht="15.75" customHeight="1">
      <c r="A954" s="2"/>
      <c r="B954" s="2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2"/>
      <c r="N954" s="2"/>
      <c r="O954" s="2"/>
      <c r="P954" s="2"/>
      <c r="Q954" s="2"/>
      <c r="R954" s="2"/>
      <c r="S954" s="4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15.75" customHeight="1">
      <c r="A955" s="2"/>
      <c r="B955" s="2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2"/>
      <c r="N955" s="2"/>
      <c r="O955" s="2"/>
      <c r="P955" s="2"/>
      <c r="Q955" s="2"/>
      <c r="R955" s="2"/>
      <c r="S955" s="4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ht="15.75" customHeight="1">
      <c r="A956" s="2"/>
      <c r="B956" s="2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2"/>
      <c r="N956" s="2"/>
      <c r="O956" s="2"/>
      <c r="P956" s="2"/>
      <c r="Q956" s="2"/>
      <c r="R956" s="2"/>
      <c r="S956" s="4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15.75" customHeight="1">
      <c r="A957" s="2"/>
      <c r="B957" s="2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2"/>
      <c r="N957" s="2"/>
      <c r="O957" s="2"/>
      <c r="P957" s="2"/>
      <c r="Q957" s="2"/>
      <c r="R957" s="2"/>
      <c r="S957" s="4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</row>
    <row r="958" ht="15.75" customHeight="1">
      <c r="A958" s="2"/>
      <c r="B958" s="2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2"/>
      <c r="N958" s="2"/>
      <c r="O958" s="2"/>
      <c r="P958" s="2"/>
      <c r="Q958" s="2"/>
      <c r="R958" s="2"/>
      <c r="S958" s="4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ht="15.75" customHeight="1">
      <c r="A959" s="2"/>
      <c r="B959" s="2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2"/>
      <c r="N959" s="2"/>
      <c r="O959" s="2"/>
      <c r="P959" s="2"/>
      <c r="Q959" s="2"/>
      <c r="R959" s="2"/>
      <c r="S959" s="4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ht="15.75" customHeight="1">
      <c r="A960" s="2"/>
      <c r="B960" s="2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2"/>
      <c r="N960" s="2"/>
      <c r="O960" s="2"/>
      <c r="P960" s="2"/>
      <c r="Q960" s="2"/>
      <c r="R960" s="2"/>
      <c r="S960" s="4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ht="15.75" customHeight="1">
      <c r="A961" s="2"/>
      <c r="B961" s="2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2"/>
      <c r="N961" s="2"/>
      <c r="O961" s="2"/>
      <c r="P961" s="2"/>
      <c r="Q961" s="2"/>
      <c r="R961" s="2"/>
      <c r="S961" s="4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15.75" customHeight="1">
      <c r="A962" s="2"/>
      <c r="B962" s="2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2"/>
      <c r="N962" s="2"/>
      <c r="O962" s="2"/>
      <c r="P962" s="2"/>
      <c r="Q962" s="2"/>
      <c r="R962" s="2"/>
      <c r="S962" s="4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ht="15.75" customHeight="1">
      <c r="A963" s="2"/>
      <c r="B963" s="2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2"/>
      <c r="N963" s="2"/>
      <c r="O963" s="2"/>
      <c r="P963" s="2"/>
      <c r="Q963" s="2"/>
      <c r="R963" s="2"/>
      <c r="S963" s="4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ht="15.75" customHeight="1">
      <c r="A964" s="2"/>
      <c r="B964" s="2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2"/>
      <c r="N964" s="2"/>
      <c r="O964" s="2"/>
      <c r="P964" s="2"/>
      <c r="Q964" s="2"/>
      <c r="R964" s="2"/>
      <c r="S964" s="4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</row>
    <row r="965" ht="15.75" customHeight="1">
      <c r="A965" s="2"/>
      <c r="B965" s="2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2"/>
      <c r="N965" s="2"/>
      <c r="O965" s="2"/>
      <c r="P965" s="2"/>
      <c r="Q965" s="2"/>
      <c r="R965" s="2"/>
      <c r="S965" s="4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15.75" customHeight="1">
      <c r="A966" s="2"/>
      <c r="B966" s="2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2"/>
      <c r="N966" s="2"/>
      <c r="O966" s="2"/>
      <c r="P966" s="2"/>
      <c r="Q966" s="2"/>
      <c r="R966" s="2"/>
      <c r="S966" s="4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ht="15.75" customHeight="1">
      <c r="A967" s="2"/>
      <c r="B967" s="2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2"/>
      <c r="N967" s="2"/>
      <c r="O967" s="2"/>
      <c r="P967" s="2"/>
      <c r="Q967" s="2"/>
      <c r="R967" s="2"/>
      <c r="S967" s="4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15.75" customHeight="1">
      <c r="A968" s="2"/>
      <c r="B968" s="2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2"/>
      <c r="N968" s="2"/>
      <c r="O968" s="2"/>
      <c r="P968" s="2"/>
      <c r="Q968" s="2"/>
      <c r="R968" s="2"/>
      <c r="S968" s="4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15.75" customHeight="1">
      <c r="A969" s="2"/>
      <c r="B969" s="2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2"/>
      <c r="N969" s="2"/>
      <c r="O969" s="2"/>
      <c r="P969" s="2"/>
      <c r="Q969" s="2"/>
      <c r="R969" s="2"/>
      <c r="S969" s="4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ht="15.75" customHeight="1">
      <c r="A970" s="2"/>
      <c r="B970" s="2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2"/>
      <c r="N970" s="2"/>
      <c r="O970" s="2"/>
      <c r="P970" s="2"/>
      <c r="Q970" s="2"/>
      <c r="R970" s="2"/>
      <c r="S970" s="4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ht="15.75" customHeight="1">
      <c r="A971" s="2"/>
      <c r="B971" s="2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2"/>
      <c r="N971" s="2"/>
      <c r="O971" s="2"/>
      <c r="P971" s="2"/>
      <c r="Q971" s="2"/>
      <c r="R971" s="2"/>
      <c r="S971" s="4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</row>
    <row r="972" ht="15.75" customHeight="1">
      <c r="A972" s="2"/>
      <c r="B972" s="2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2"/>
      <c r="N972" s="2"/>
      <c r="O972" s="2"/>
      <c r="P972" s="2"/>
      <c r="Q972" s="2"/>
      <c r="R972" s="2"/>
      <c r="S972" s="4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ht="15.75" customHeight="1">
      <c r="A973" s="2"/>
      <c r="B973" s="2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2"/>
      <c r="N973" s="2"/>
      <c r="O973" s="2"/>
      <c r="P973" s="2"/>
      <c r="Q973" s="2"/>
      <c r="R973" s="2"/>
      <c r="S973" s="4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ht="15.75" customHeight="1">
      <c r="A974" s="2"/>
      <c r="B974" s="2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2"/>
      <c r="N974" s="2"/>
      <c r="O974" s="2"/>
      <c r="P974" s="2"/>
      <c r="Q974" s="2"/>
      <c r="R974" s="2"/>
      <c r="S974" s="4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ht="15.75" customHeight="1">
      <c r="A975" s="2"/>
      <c r="B975" s="2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2"/>
      <c r="N975" s="2"/>
      <c r="O975" s="2"/>
      <c r="P975" s="2"/>
      <c r="Q975" s="2"/>
      <c r="R975" s="2"/>
      <c r="S975" s="4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ht="15.75" customHeight="1">
      <c r="A976" s="2"/>
      <c r="B976" s="2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2"/>
      <c r="N976" s="2"/>
      <c r="O976" s="2"/>
      <c r="P976" s="2"/>
      <c r="Q976" s="2"/>
      <c r="R976" s="2"/>
      <c r="S976" s="4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</row>
    <row r="977" ht="15.75" customHeight="1">
      <c r="A977" s="2"/>
      <c r="B977" s="2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2"/>
      <c r="N977" s="2"/>
      <c r="O977" s="2"/>
      <c r="P977" s="2"/>
      <c r="Q977" s="2"/>
      <c r="R977" s="2"/>
      <c r="S977" s="4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ht="15.75" customHeight="1">
      <c r="A978" s="2"/>
      <c r="B978" s="2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2"/>
      <c r="N978" s="2"/>
      <c r="O978" s="2"/>
      <c r="P978" s="2"/>
      <c r="Q978" s="2"/>
      <c r="R978" s="2"/>
      <c r="S978" s="4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ht="15.75" customHeight="1">
      <c r="A979" s="2"/>
      <c r="B979" s="2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2"/>
      <c r="N979" s="2"/>
      <c r="O979" s="2"/>
      <c r="P979" s="2"/>
      <c r="Q979" s="2"/>
      <c r="R979" s="2"/>
      <c r="S979" s="4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</row>
    <row r="980" ht="15.75" customHeight="1">
      <c r="A980" s="2"/>
      <c r="B980" s="2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2"/>
      <c r="N980" s="2"/>
      <c r="O980" s="2"/>
      <c r="P980" s="2"/>
      <c r="Q980" s="2"/>
      <c r="R980" s="2"/>
      <c r="S980" s="4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</row>
    <row r="981" ht="15.75" customHeight="1">
      <c r="A981" s="2"/>
      <c r="B981" s="2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2"/>
      <c r="N981" s="2"/>
      <c r="O981" s="2"/>
      <c r="P981" s="2"/>
      <c r="Q981" s="2"/>
      <c r="R981" s="2"/>
      <c r="S981" s="4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ht="15.75" customHeight="1">
      <c r="A982" s="2"/>
      <c r="B982" s="2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2"/>
      <c r="N982" s="2"/>
      <c r="O982" s="2"/>
      <c r="P982" s="2"/>
      <c r="Q982" s="2"/>
      <c r="R982" s="2"/>
      <c r="S982" s="4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</row>
    <row r="983" ht="15.75" customHeight="1">
      <c r="A983" s="2"/>
      <c r="B983" s="2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2"/>
      <c r="N983" s="2"/>
      <c r="O983" s="2"/>
      <c r="P983" s="2"/>
      <c r="Q983" s="2"/>
      <c r="R983" s="2"/>
      <c r="S983" s="4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ht="15.75" customHeight="1">
      <c r="A984" s="2"/>
      <c r="B984" s="2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2"/>
      <c r="N984" s="2"/>
      <c r="O984" s="2"/>
      <c r="P984" s="2"/>
      <c r="Q984" s="2"/>
      <c r="R984" s="2"/>
      <c r="S984" s="4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ht="15.75" customHeight="1">
      <c r="A985" s="2"/>
      <c r="B985" s="2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2"/>
      <c r="N985" s="2"/>
      <c r="O985" s="2"/>
      <c r="P985" s="2"/>
      <c r="Q985" s="2"/>
      <c r="R985" s="2"/>
      <c r="S985" s="4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</row>
    <row r="986" ht="15.75" customHeight="1">
      <c r="A986" s="2"/>
      <c r="B986" s="2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2"/>
      <c r="N986" s="2"/>
      <c r="O986" s="2"/>
      <c r="P986" s="2"/>
      <c r="Q986" s="2"/>
      <c r="R986" s="2"/>
      <c r="S986" s="4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ht="15.75" customHeight="1">
      <c r="A987" s="2"/>
      <c r="B987" s="2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2"/>
      <c r="N987" s="2"/>
      <c r="O987" s="2"/>
      <c r="P987" s="2"/>
      <c r="Q987" s="2"/>
      <c r="R987" s="2"/>
      <c r="S987" s="4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ht="15.75" customHeight="1">
      <c r="A988" s="2"/>
      <c r="B988" s="2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2"/>
      <c r="N988" s="2"/>
      <c r="O988" s="2"/>
      <c r="P988" s="2"/>
      <c r="Q988" s="2"/>
      <c r="R988" s="2"/>
      <c r="S988" s="4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ht="15.75" customHeight="1">
      <c r="A989" s="2"/>
      <c r="B989" s="2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2"/>
      <c r="N989" s="2"/>
      <c r="O989" s="2"/>
      <c r="P989" s="2"/>
      <c r="Q989" s="2"/>
      <c r="R989" s="2"/>
      <c r="S989" s="4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ht="15.75" customHeight="1">
      <c r="A990" s="2"/>
      <c r="B990" s="2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2"/>
      <c r="N990" s="2"/>
      <c r="O990" s="2"/>
      <c r="P990" s="2"/>
      <c r="Q990" s="2"/>
      <c r="R990" s="2"/>
      <c r="S990" s="4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ht="15.75" customHeight="1">
      <c r="A991" s="2"/>
      <c r="B991" s="2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2"/>
      <c r="N991" s="2"/>
      <c r="O991" s="2"/>
      <c r="P991" s="2"/>
      <c r="Q991" s="2"/>
      <c r="R991" s="2"/>
      <c r="S991" s="4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</row>
    <row r="992" ht="15.75" customHeight="1">
      <c r="A992" s="2"/>
      <c r="B992" s="2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2"/>
      <c r="N992" s="2"/>
      <c r="O992" s="2"/>
      <c r="P992" s="2"/>
      <c r="Q992" s="2"/>
      <c r="R992" s="2"/>
      <c r="S992" s="4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ht="15.75" customHeight="1">
      <c r="A993" s="2"/>
      <c r="B993" s="2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2"/>
      <c r="N993" s="2"/>
      <c r="O993" s="2"/>
      <c r="P993" s="2"/>
      <c r="Q993" s="2"/>
      <c r="R993" s="2"/>
      <c r="S993" s="4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</row>
    <row r="994" ht="15.75" customHeight="1">
      <c r="A994" s="2"/>
      <c r="B994" s="2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2"/>
      <c r="N994" s="2"/>
      <c r="O994" s="2"/>
      <c r="P994" s="2"/>
      <c r="Q994" s="2"/>
      <c r="R994" s="2"/>
      <c r="S994" s="4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ht="15.75" customHeight="1">
      <c r="A995" s="2"/>
      <c r="B995" s="2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2"/>
      <c r="N995" s="2"/>
      <c r="O995" s="2"/>
      <c r="P995" s="2"/>
      <c r="Q995" s="2"/>
      <c r="R995" s="2"/>
      <c r="S995" s="4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ht="15.75" customHeight="1">
      <c r="A996" s="2"/>
      <c r="B996" s="2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2"/>
      <c r="N996" s="2"/>
      <c r="O996" s="2"/>
      <c r="P996" s="2"/>
      <c r="Q996" s="2"/>
      <c r="R996" s="2"/>
      <c r="S996" s="4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ht="15.75" customHeight="1">
      <c r="A997" s="2"/>
      <c r="B997" s="2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2"/>
      <c r="N997" s="2"/>
      <c r="O997" s="2"/>
      <c r="P997" s="2"/>
      <c r="Q997" s="2"/>
      <c r="R997" s="2"/>
      <c r="S997" s="4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ht="15.75" customHeight="1">
      <c r="A998" s="2"/>
      <c r="B998" s="2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2"/>
      <c r="N998" s="2"/>
      <c r="O998" s="2"/>
      <c r="P998" s="2"/>
      <c r="Q998" s="2"/>
      <c r="R998" s="2"/>
      <c r="S998" s="4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ht="15.75" customHeight="1">
      <c r="A999" s="2"/>
      <c r="B999" s="2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2"/>
      <c r="N999" s="2"/>
      <c r="O999" s="2"/>
      <c r="P999" s="2"/>
      <c r="Q999" s="2"/>
      <c r="R999" s="2"/>
      <c r="S999" s="4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ht="15.75" customHeight="1">
      <c r="A1000" s="2"/>
      <c r="B1000" s="2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2"/>
      <c r="N1000" s="2"/>
      <c r="O1000" s="2"/>
      <c r="P1000" s="2"/>
      <c r="Q1000" s="2"/>
      <c r="R1000" s="2"/>
      <c r="S1000" s="4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  <row r="1001" ht="15.75" customHeight="1">
      <c r="A1001" s="2"/>
      <c r="B1001" s="2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2"/>
      <c r="N1001" s="2"/>
      <c r="O1001" s="2"/>
      <c r="P1001" s="2"/>
      <c r="Q1001" s="2"/>
      <c r="R1001" s="2"/>
      <c r="S1001" s="4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</row>
    <row r="1002" ht="15.75" customHeight="1">
      <c r="A1002" s="2"/>
      <c r="B1002" s="2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2"/>
      <c r="N1002" s="2"/>
      <c r="O1002" s="2"/>
      <c r="P1002" s="2"/>
      <c r="Q1002" s="2"/>
      <c r="R1002" s="2"/>
      <c r="S1002" s="4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</row>
    <row r="1003" ht="15.75" customHeight="1">
      <c r="A1003" s="2"/>
      <c r="B1003" s="2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2"/>
      <c r="N1003" s="2"/>
      <c r="O1003" s="2"/>
      <c r="P1003" s="2"/>
      <c r="Q1003" s="2"/>
      <c r="R1003" s="2"/>
      <c r="S1003" s="4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</row>
    <row r="1004" ht="15.75" customHeight="1">
      <c r="A1004" s="2"/>
      <c r="B1004" s="2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2"/>
      <c r="N1004" s="2"/>
      <c r="O1004" s="2"/>
      <c r="P1004" s="2"/>
      <c r="Q1004" s="2"/>
      <c r="R1004" s="2"/>
      <c r="S1004" s="4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</row>
    <row r="1005" ht="15.75" customHeight="1">
      <c r="A1005" s="2"/>
      <c r="B1005" s="2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2"/>
      <c r="N1005" s="2"/>
      <c r="O1005" s="2"/>
      <c r="P1005" s="2"/>
      <c r="Q1005" s="2"/>
      <c r="R1005" s="2"/>
      <c r="S1005" s="4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</row>
    <row r="1006" ht="15.75" customHeight="1">
      <c r="A1006" s="2"/>
      <c r="B1006" s="2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2"/>
      <c r="N1006" s="2"/>
      <c r="O1006" s="2"/>
      <c r="P1006" s="2"/>
      <c r="Q1006" s="2"/>
      <c r="R1006" s="2"/>
      <c r="S1006" s="4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</row>
    <row r="1007" ht="15.75" customHeight="1">
      <c r="A1007" s="2"/>
      <c r="B1007" s="2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2"/>
      <c r="N1007" s="2"/>
      <c r="O1007" s="2"/>
      <c r="P1007" s="2"/>
      <c r="Q1007" s="2"/>
      <c r="R1007" s="2"/>
      <c r="S1007" s="4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</row>
    <row r="1008" ht="15.75" customHeight="1">
      <c r="A1008" s="2"/>
      <c r="B1008" s="2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2"/>
      <c r="N1008" s="2"/>
      <c r="O1008" s="2"/>
      <c r="P1008" s="2"/>
      <c r="Q1008" s="2"/>
      <c r="R1008" s="2"/>
      <c r="S1008" s="4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</row>
    <row r="1009" ht="15.75" customHeight="1">
      <c r="A1009" s="2"/>
      <c r="B1009" s="2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2"/>
      <c r="N1009" s="2"/>
      <c r="O1009" s="2"/>
      <c r="P1009" s="2"/>
      <c r="Q1009" s="2"/>
      <c r="R1009" s="2"/>
      <c r="S1009" s="4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</row>
    <row r="1010" ht="15.75" customHeight="1">
      <c r="A1010" s="2"/>
      <c r="B1010" s="2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2"/>
      <c r="N1010" s="2"/>
      <c r="O1010" s="2"/>
      <c r="P1010" s="2"/>
      <c r="Q1010" s="2"/>
      <c r="R1010" s="2"/>
      <c r="S1010" s="4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</row>
    <row r="1011" ht="15.75" customHeight="1">
      <c r="A1011" s="2"/>
      <c r="B1011" s="2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2"/>
      <c r="N1011" s="2"/>
      <c r="O1011" s="2"/>
      <c r="P1011" s="2"/>
      <c r="Q1011" s="2"/>
      <c r="R1011" s="2"/>
      <c r="S1011" s="4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</row>
    <row r="1012" ht="15.75" customHeight="1">
      <c r="A1012" s="2"/>
      <c r="B1012" s="2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2"/>
      <c r="N1012" s="2"/>
      <c r="O1012" s="2"/>
      <c r="P1012" s="2"/>
      <c r="Q1012" s="2"/>
      <c r="R1012" s="2"/>
      <c r="S1012" s="4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</row>
    <row r="1013" ht="15.75" customHeight="1">
      <c r="A1013" s="2"/>
      <c r="B1013" s="2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2"/>
      <c r="N1013" s="2"/>
      <c r="O1013" s="2"/>
      <c r="P1013" s="2"/>
      <c r="Q1013" s="2"/>
      <c r="R1013" s="2"/>
      <c r="S1013" s="4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</row>
    <row r="1014" ht="15.75" customHeight="1">
      <c r="A1014" s="2"/>
      <c r="B1014" s="2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2"/>
      <c r="N1014" s="2"/>
      <c r="O1014" s="2"/>
      <c r="P1014" s="2"/>
      <c r="Q1014" s="2"/>
      <c r="R1014" s="2"/>
      <c r="S1014" s="4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</row>
    <row r="1015" ht="15.75" customHeight="1">
      <c r="A1015" s="2"/>
      <c r="B1015" s="2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2"/>
      <c r="N1015" s="2"/>
      <c r="O1015" s="2"/>
      <c r="P1015" s="2"/>
      <c r="Q1015" s="2"/>
      <c r="R1015" s="2"/>
      <c r="S1015" s="4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</row>
    <row r="1016" ht="15.75" customHeight="1">
      <c r="A1016" s="2"/>
      <c r="B1016" s="2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2"/>
      <c r="N1016" s="2"/>
      <c r="O1016" s="2"/>
      <c r="P1016" s="2"/>
      <c r="Q1016" s="2"/>
      <c r="R1016" s="2"/>
      <c r="S1016" s="4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</row>
    <row r="1017" ht="15.75" customHeight="1">
      <c r="A1017" s="2"/>
      <c r="B1017" s="2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2"/>
      <c r="N1017" s="2"/>
      <c r="O1017" s="2"/>
      <c r="P1017" s="2"/>
      <c r="Q1017" s="2"/>
      <c r="R1017" s="2"/>
      <c r="S1017" s="4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</row>
    <row r="1018" ht="15.75" customHeight="1">
      <c r="A1018" s="2"/>
      <c r="B1018" s="2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2"/>
      <c r="N1018" s="2"/>
      <c r="O1018" s="2"/>
      <c r="P1018" s="2"/>
      <c r="Q1018" s="2"/>
      <c r="R1018" s="2"/>
      <c r="S1018" s="4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</row>
    <row r="1019" ht="15.75" customHeight="1">
      <c r="A1019" s="2"/>
      <c r="B1019" s="2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2"/>
      <c r="N1019" s="2"/>
      <c r="O1019" s="2"/>
      <c r="P1019" s="2"/>
      <c r="Q1019" s="2"/>
      <c r="R1019" s="2"/>
      <c r="S1019" s="4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</row>
    <row r="1020" ht="15.75" customHeight="1">
      <c r="A1020" s="2"/>
      <c r="B1020" s="2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2"/>
      <c r="N1020" s="2"/>
      <c r="O1020" s="2"/>
      <c r="P1020" s="2"/>
      <c r="Q1020" s="2"/>
      <c r="R1020" s="2"/>
      <c r="S1020" s="4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</row>
    <row r="1021" ht="15.75" customHeight="1">
      <c r="A1021" s="2"/>
      <c r="B1021" s="2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2"/>
      <c r="N1021" s="2"/>
      <c r="O1021" s="2"/>
      <c r="P1021" s="2"/>
      <c r="Q1021" s="2"/>
      <c r="R1021" s="2"/>
      <c r="S1021" s="4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</row>
    <row r="1022" ht="15.75" customHeight="1">
      <c r="A1022" s="2"/>
      <c r="B1022" s="2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2"/>
      <c r="N1022" s="2"/>
      <c r="O1022" s="2"/>
      <c r="P1022" s="2"/>
      <c r="Q1022" s="2"/>
      <c r="R1022" s="2"/>
      <c r="S1022" s="4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</row>
    <row r="1023" ht="15.75" customHeight="1">
      <c r="A1023" s="2"/>
      <c r="B1023" s="2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2"/>
      <c r="N1023" s="2"/>
      <c r="O1023" s="2"/>
      <c r="P1023" s="2"/>
      <c r="Q1023" s="2"/>
      <c r="R1023" s="2"/>
      <c r="S1023" s="4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</row>
    <row r="1024" ht="15.75" customHeight="1">
      <c r="A1024" s="2"/>
      <c r="B1024" s="2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2"/>
      <c r="N1024" s="2"/>
      <c r="O1024" s="2"/>
      <c r="P1024" s="2"/>
      <c r="Q1024" s="2"/>
      <c r="R1024" s="2"/>
      <c r="S1024" s="4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</row>
    <row r="1025" ht="15.75" customHeight="1">
      <c r="A1025" s="2"/>
      <c r="B1025" s="2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2"/>
      <c r="N1025" s="2"/>
      <c r="O1025" s="2"/>
      <c r="P1025" s="2"/>
      <c r="Q1025" s="2"/>
      <c r="R1025" s="2"/>
      <c r="S1025" s="4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</row>
    <row r="1026" ht="15.75" customHeight="1">
      <c r="A1026" s="2"/>
      <c r="B1026" s="2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2"/>
      <c r="N1026" s="2"/>
      <c r="O1026" s="2"/>
      <c r="P1026" s="2"/>
      <c r="Q1026" s="2"/>
      <c r="R1026" s="2"/>
      <c r="S1026" s="4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</row>
    <row r="1027" ht="15.75" customHeight="1">
      <c r="A1027" s="2"/>
      <c r="B1027" s="2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2"/>
      <c r="N1027" s="2"/>
      <c r="O1027" s="2"/>
      <c r="P1027" s="2"/>
      <c r="Q1027" s="2"/>
      <c r="R1027" s="2"/>
      <c r="S1027" s="4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</row>
    <row r="1028" ht="15.75" customHeight="1">
      <c r="A1028" s="2"/>
      <c r="B1028" s="2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2"/>
      <c r="N1028" s="2"/>
      <c r="O1028" s="2"/>
      <c r="P1028" s="2"/>
      <c r="Q1028" s="2"/>
      <c r="R1028" s="2"/>
      <c r="S1028" s="4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</row>
    <row r="1029" ht="15.75" customHeight="1">
      <c r="A1029" s="2"/>
      <c r="B1029" s="2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2"/>
      <c r="N1029" s="2"/>
      <c r="O1029" s="2"/>
      <c r="P1029" s="2"/>
      <c r="Q1029" s="2"/>
      <c r="R1029" s="2"/>
      <c r="S1029" s="4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</row>
    <row r="1030" ht="15.75" customHeight="1">
      <c r="A1030" s="2"/>
      <c r="B1030" s="2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2"/>
      <c r="N1030" s="2"/>
      <c r="O1030" s="2"/>
      <c r="P1030" s="2"/>
      <c r="Q1030" s="2"/>
      <c r="R1030" s="2"/>
      <c r="S1030" s="4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</row>
    <row r="1031" ht="15.75" customHeight="1">
      <c r="A1031" s="2"/>
      <c r="B1031" s="2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2"/>
      <c r="N1031" s="2"/>
      <c r="O1031" s="2"/>
      <c r="P1031" s="2"/>
      <c r="Q1031" s="2"/>
      <c r="R1031" s="2"/>
      <c r="S1031" s="4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</row>
    <row r="1032" ht="15.75" customHeight="1">
      <c r="A1032" s="2"/>
      <c r="B1032" s="2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2"/>
      <c r="N1032" s="2"/>
      <c r="O1032" s="2"/>
      <c r="P1032" s="2"/>
      <c r="Q1032" s="2"/>
      <c r="R1032" s="2"/>
      <c r="S1032" s="4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</row>
  </sheetData>
  <mergeCells count="48">
    <mergeCell ref="U26:Z26"/>
    <mergeCell ref="AA26:AF26"/>
    <mergeCell ref="AA25:AF25"/>
    <mergeCell ref="AG25:AL25"/>
    <mergeCell ref="A26:A28"/>
    <mergeCell ref="B26:B28"/>
    <mergeCell ref="C26:F26"/>
    <mergeCell ref="H26:K26"/>
    <mergeCell ref="M26:R26"/>
    <mergeCell ref="AG26:AL26"/>
    <mergeCell ref="N2:U2"/>
    <mergeCell ref="X2:AD2"/>
    <mergeCell ref="O3:P3"/>
    <mergeCell ref="O4:P4"/>
    <mergeCell ref="A6:K6"/>
    <mergeCell ref="A7:K7"/>
    <mergeCell ref="A8:K8"/>
    <mergeCell ref="A9:K9"/>
    <mergeCell ref="N9:Q9"/>
    <mergeCell ref="X9:AD9"/>
    <mergeCell ref="A10:K10"/>
    <mergeCell ref="N10:Q10"/>
    <mergeCell ref="N11:Q11"/>
    <mergeCell ref="N12:Q12"/>
    <mergeCell ref="AE15:AG15"/>
    <mergeCell ref="AE16:AF16"/>
    <mergeCell ref="AE17:AG17"/>
    <mergeCell ref="S17:T17"/>
    <mergeCell ref="S19:T19"/>
    <mergeCell ref="S20:T20"/>
    <mergeCell ref="S21:T21"/>
    <mergeCell ref="A14:A15"/>
    <mergeCell ref="B14:H14"/>
    <mergeCell ref="Y14:Z14"/>
    <mergeCell ref="S15:T15"/>
    <mergeCell ref="Y15:Z15"/>
    <mergeCell ref="S16:T16"/>
    <mergeCell ref="A19:H19"/>
    <mergeCell ref="Y19:Z19"/>
    <mergeCell ref="Y16:Z16"/>
    <mergeCell ref="Y17:Z17"/>
    <mergeCell ref="S18:T18"/>
    <mergeCell ref="Y18:Z18"/>
    <mergeCell ref="Y20:Z20"/>
    <mergeCell ref="Y21:Z21"/>
    <mergeCell ref="U25:Z25"/>
    <mergeCell ref="S26:S27"/>
    <mergeCell ref="T26:T27"/>
  </mergeCells>
  <printOptions/>
  <pageMargins bottom="1.3795635203068697" footer="0.0" header="0.0" left="0.18152000081490466" right="0.15126666734575386" top="0.5006480517242672"/>
  <pageSetup paperSize="9"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3.43"/>
    <col customWidth="1" min="3" max="3" width="11.43"/>
    <col customWidth="1" min="4" max="4" width="8.0"/>
    <col customWidth="1" min="5" max="5" width="7.86"/>
    <col customWidth="1" min="6" max="6" width="8.71"/>
    <col customWidth="1" min="7" max="7" width="8.43"/>
    <col customWidth="1" min="8" max="13" width="7.43"/>
    <col customWidth="1" min="15" max="15" width="11.0"/>
    <col customWidth="1" min="16" max="17" width="7.43"/>
    <col customWidth="1" min="18" max="18" width="9.29"/>
    <col customWidth="1" min="19" max="19" width="7.71"/>
    <col customWidth="1" min="20" max="21" width="10.43"/>
    <col customWidth="1" min="22" max="22" width="10.86"/>
    <col customWidth="1" min="23" max="23" width="11.0"/>
    <col customWidth="1" min="24" max="24" width="14.0"/>
    <col customWidth="1" min="25" max="25" width="10.57"/>
    <col customWidth="1" min="26" max="26" width="12.0"/>
    <col customWidth="1" min="27" max="30" width="13.29"/>
    <col customWidth="1" min="31" max="35" width="8.57"/>
    <col customWidth="1" min="36" max="38" width="10.0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  <c r="O1" s="4"/>
      <c r="P1" s="4"/>
      <c r="Q1" s="4"/>
      <c r="R1" s="4"/>
      <c r="S1" s="4"/>
      <c r="T1" s="4"/>
      <c r="U1" s="4"/>
      <c r="V1" s="2"/>
      <c r="W1" s="2"/>
      <c r="X1" s="2"/>
      <c r="Y1" s="2"/>
      <c r="Z1" s="2"/>
      <c r="AA1" s="2"/>
      <c r="AB1" s="2"/>
      <c r="AC1" s="5"/>
      <c r="AD1" s="2"/>
      <c r="AE1" s="2"/>
      <c r="AF1" s="2"/>
      <c r="AG1" s="2"/>
      <c r="AH1" s="2"/>
      <c r="AI1" s="2"/>
      <c r="AJ1" s="2"/>
      <c r="AK1" s="2"/>
      <c r="AL1" s="2"/>
    </row>
    <row r="2" ht="27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6" t="s">
        <v>1</v>
      </c>
      <c r="V2" s="2"/>
      <c r="W2" s="2"/>
      <c r="X2" s="9" t="s">
        <v>2</v>
      </c>
      <c r="Y2" s="9"/>
      <c r="Z2" s="9"/>
      <c r="AA2" s="9"/>
      <c r="AB2" s="9"/>
      <c r="AC2" s="9"/>
      <c r="AD2" s="9"/>
      <c r="AE2" s="2"/>
      <c r="AF2" s="2"/>
      <c r="AG2" s="2"/>
      <c r="AH2" s="2"/>
      <c r="AI2" s="2"/>
      <c r="AJ2" s="2"/>
      <c r="AK2" s="2"/>
      <c r="AL2" s="2"/>
    </row>
    <row r="3" ht="27.0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 t="s">
        <v>3</v>
      </c>
      <c r="O3" s="4"/>
      <c r="P3" s="4"/>
      <c r="Q3" s="4"/>
      <c r="R3" s="3" t="s">
        <v>10</v>
      </c>
      <c r="S3" s="4"/>
      <c r="T3" s="4"/>
      <c r="U3" s="4"/>
      <c r="V3" s="2"/>
      <c r="W3" s="2"/>
      <c r="X3" s="11" t="s">
        <v>7</v>
      </c>
      <c r="Y3" s="11" t="s">
        <v>8</v>
      </c>
      <c r="Z3" s="11" t="s">
        <v>9</v>
      </c>
      <c r="AA3" s="11" t="s">
        <v>11</v>
      </c>
      <c r="AB3" s="11" t="s">
        <v>12</v>
      </c>
      <c r="AC3" s="5"/>
      <c r="AD3" s="2"/>
      <c r="AE3" s="2"/>
      <c r="AF3" s="2"/>
      <c r="AG3" s="2"/>
      <c r="AH3" s="2"/>
      <c r="AI3" s="2"/>
      <c r="AJ3" s="2"/>
      <c r="AK3" s="2"/>
      <c r="AL3" s="2"/>
    </row>
    <row r="4" ht="27.0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 t="s">
        <v>15</v>
      </c>
      <c r="O4" s="4"/>
      <c r="P4" s="4"/>
      <c r="Q4" s="4"/>
      <c r="R4" s="4"/>
      <c r="S4" s="4"/>
      <c r="T4" s="4"/>
      <c r="U4" s="4"/>
      <c r="V4" s="2"/>
      <c r="W4" s="2"/>
      <c r="X4" s="13" t="s">
        <v>17</v>
      </c>
      <c r="Y4" s="14" t="str">
        <f>IF($C$94="CO1",$C$98,IF($D$94="CO1",$D$98,IF($E$94="CO1",$E$97,"")))</f>
        <v>#DIV/0!</v>
      </c>
      <c r="Z4" s="14" t="str">
        <f>IF($C$94="CO2",$C$98,IF($D$94="CO2",$D$98,IF($E$94="CO2",$E$97,"")))</f>
        <v>#DIV/0!</v>
      </c>
      <c r="AA4" s="14" t="str">
        <f>IF($C$94="CO3",$C$98,IF($D$94="CO3",$D$98,IF($E$94="CO3",$E$97,"")))</f>
        <v/>
      </c>
      <c r="AB4" s="14" t="str">
        <f>IF($C$94="CO4",$C$98,IF($D$94="CO4",$D$98,IF($E$94="CO4",$E$97,"")))</f>
        <v/>
      </c>
      <c r="AC4" s="17"/>
      <c r="AD4" s="17"/>
      <c r="AE4" s="2"/>
      <c r="AF4" s="2"/>
      <c r="AG4" s="2"/>
      <c r="AH4" s="2"/>
      <c r="AI4" s="2"/>
      <c r="AJ4" s="2"/>
      <c r="AK4" s="2"/>
      <c r="AL4" s="2"/>
    </row>
    <row r="5" ht="48.0" customHeight="1">
      <c r="A5" s="15" t="s">
        <v>18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2"/>
      <c r="N5" s="9" t="s">
        <v>19</v>
      </c>
      <c r="O5" s="9"/>
      <c r="P5" s="9"/>
      <c r="Q5" s="9"/>
      <c r="R5" s="9" t="s">
        <v>26</v>
      </c>
      <c r="S5" s="9"/>
      <c r="T5" s="4"/>
      <c r="U5" s="4"/>
      <c r="V5" s="2"/>
      <c r="W5" s="2"/>
      <c r="X5" s="13" t="s">
        <v>22</v>
      </c>
      <c r="Y5" s="14" t="str">
        <f>IF($G$94="CO1",$G$98,IF($H$94="CO1",$H$98,IF($I$94="CO1",$I$97,"")))</f>
        <v/>
      </c>
      <c r="Z5" s="14" t="str">
        <f>IF($G$94="CO2",$G$98,IF($H$94="CO2",$H$98,IF($I$94="CO2",$I$97,"")))</f>
        <v/>
      </c>
      <c r="AA5" s="14" t="str">
        <f>IF($G$94="CO3",$G$98,IF($H$94="CO3",$H$98,IF($I$94="CO3",$I$97,"")))</f>
        <v/>
      </c>
      <c r="AB5" s="14" t="str">
        <f>IF($G$94="CO4",$G$98,IF($H$94="CO4",$H$98,IF($I$94="CO4",$I$97,"")))</f>
        <v>#DIV/0!</v>
      </c>
      <c r="AC5" s="17"/>
      <c r="AD5" s="17"/>
      <c r="AE5" s="2"/>
      <c r="AF5" s="2"/>
      <c r="AG5" s="2"/>
      <c r="AH5" s="2"/>
      <c r="AI5" s="2"/>
      <c r="AJ5" s="2"/>
      <c r="AK5" s="2"/>
      <c r="AL5" s="2"/>
    </row>
    <row r="6" ht="48.0" customHeight="1">
      <c r="A6" s="18" t="s">
        <v>23</v>
      </c>
      <c r="B6" s="19"/>
      <c r="C6" s="19"/>
      <c r="D6" s="19"/>
      <c r="E6" s="19"/>
      <c r="F6" s="19"/>
      <c r="G6" s="19"/>
      <c r="H6" s="19"/>
      <c r="I6" s="19"/>
      <c r="J6" s="19"/>
      <c r="K6" s="20"/>
      <c r="L6" s="21"/>
      <c r="M6" s="2"/>
      <c r="N6" s="9" t="s">
        <v>24</v>
      </c>
      <c r="O6" s="9"/>
      <c r="P6" s="9"/>
      <c r="Q6" s="9"/>
      <c r="R6" s="9"/>
      <c r="S6" s="9"/>
      <c r="T6" s="4"/>
      <c r="U6" s="4"/>
      <c r="V6" s="2"/>
      <c r="W6" s="2"/>
      <c r="X6" s="22" t="s">
        <v>25</v>
      </c>
      <c r="Y6" s="14" t="str">
        <f t="shared" ref="Y6:AB6" si="1">$P$98</f>
        <v>#DIV/0!</v>
      </c>
      <c r="Z6" s="14" t="str">
        <f t="shared" si="1"/>
        <v>#DIV/0!</v>
      </c>
      <c r="AA6" s="14" t="str">
        <f t="shared" si="1"/>
        <v>#DIV/0!</v>
      </c>
      <c r="AB6" s="14" t="str">
        <f t="shared" si="1"/>
        <v>#DIV/0!</v>
      </c>
      <c r="AC6" s="17"/>
      <c r="AD6" s="17"/>
      <c r="AE6" s="2"/>
      <c r="AF6" s="2"/>
      <c r="AG6" s="2"/>
      <c r="AH6" s="2"/>
      <c r="AI6" s="2"/>
      <c r="AJ6" s="2"/>
      <c r="AK6" s="2"/>
      <c r="AL6" s="2"/>
    </row>
    <row r="7" ht="61.5" customHeight="1">
      <c r="A7" s="18" t="s">
        <v>27</v>
      </c>
      <c r="B7" s="19"/>
      <c r="C7" s="19"/>
      <c r="D7" s="19"/>
      <c r="E7" s="19"/>
      <c r="F7" s="19"/>
      <c r="G7" s="19"/>
      <c r="H7" s="19"/>
      <c r="I7" s="19"/>
      <c r="J7" s="19"/>
      <c r="K7" s="20"/>
      <c r="L7" s="21"/>
      <c r="M7" s="2"/>
      <c r="N7" s="11" t="s">
        <v>7</v>
      </c>
      <c r="O7" s="11" t="s">
        <v>8</v>
      </c>
      <c r="P7" s="11" t="s">
        <v>9</v>
      </c>
      <c r="Q7" s="26" t="s">
        <v>11</v>
      </c>
      <c r="R7" s="11" t="s">
        <v>12</v>
      </c>
      <c r="S7" s="17"/>
      <c r="T7" s="17"/>
      <c r="V7" s="2"/>
      <c r="W7" s="2"/>
      <c r="X7" s="24" t="s">
        <v>28</v>
      </c>
      <c r="Y7" s="25" t="str">
        <f>IF($K$94="CO1",$K$98,IF($L$94="CO1",$L$98,IF($M$94="CO1",$M$98,IF($N$94="CO1",$N$98,IF(#REF!="CO1",#REF!,IF(#REF!="CO1",#REF!,""))))))</f>
        <v>#DIV/0!</v>
      </c>
      <c r="Z7" s="25" t="str">
        <f>IF($K$94="CO2",$K$98,IF($L$94="CO2",$L$98,IF($M$94="CO2",$M$98,IF($N$94="CO2",$N$98,IF(#REF!="CO2",#REF!,IF(#REF!="CO2",#REF!,""))))))</f>
        <v>#DIV/0!</v>
      </c>
      <c r="AA7" s="25" t="str">
        <f>IF($K$94="CO3",$K$98,IF($L$94="CO3",$L$98,IF($M$94="CO3",$M$98,IF($N$94="CO3",$N$98,IF(#REF!="CO3",#REF!,IF(#REF!="CO3",#REF!,""))))))</f>
        <v>#DIV/0!</v>
      </c>
      <c r="AB7" s="25" t="str">
        <f>IF($K$94="CO4",$K$98,IF($L$94="CO4",$L$98,IF($M$94="CO4",$M$98,IF($N$94="CO4",$N$98,IF(#REF!="CO4",#REF!,IF(#REF!="CO4",#REF!,""))))))</f>
        <v>#DIV/0!</v>
      </c>
      <c r="AC7" s="17"/>
      <c r="AD7" s="17"/>
      <c r="AE7" s="2"/>
      <c r="AF7" s="2"/>
      <c r="AG7" s="2"/>
      <c r="AH7" s="2"/>
      <c r="AI7" s="2"/>
      <c r="AJ7" s="2"/>
      <c r="AK7" s="2"/>
      <c r="AL7" s="2"/>
    </row>
    <row r="8" ht="54.75" customHeight="1">
      <c r="A8" s="18" t="s">
        <v>31</v>
      </c>
      <c r="B8" s="19"/>
      <c r="C8" s="19"/>
      <c r="D8" s="19"/>
      <c r="E8" s="19"/>
      <c r="F8" s="19"/>
      <c r="G8" s="19"/>
      <c r="H8" s="19"/>
      <c r="I8" s="19"/>
      <c r="J8" s="19"/>
      <c r="K8" s="20"/>
      <c r="L8" s="21"/>
      <c r="M8" s="2"/>
      <c r="N8" s="27" t="s">
        <v>30</v>
      </c>
      <c r="O8" s="27" t="str">
        <f>$Q$98</f>
        <v>#DIV/0!</v>
      </c>
      <c r="P8" s="27" t="str">
        <f>$R$98</f>
        <v>#DIV/0!</v>
      </c>
      <c r="Q8" s="29" t="str">
        <f>$S$98</f>
        <v>#DIV/0!</v>
      </c>
      <c r="R8" s="30" t="str">
        <f>$T$98</f>
        <v>#DIV/0!</v>
      </c>
      <c r="S8" s="17"/>
      <c r="T8" s="17"/>
      <c r="V8" s="2"/>
      <c r="W8" s="2"/>
      <c r="X8" s="31" t="s">
        <v>32</v>
      </c>
      <c r="Y8" s="32" t="str">
        <f t="shared" ref="Y8:AB8" si="2">AVERAGE(Y4:Y7)</f>
        <v>#DIV/0!</v>
      </c>
      <c r="Z8" s="32" t="str">
        <f t="shared" si="2"/>
        <v>#DIV/0!</v>
      </c>
      <c r="AA8" s="32" t="str">
        <f t="shared" si="2"/>
        <v>#DIV/0!</v>
      </c>
      <c r="AB8" s="33" t="str">
        <f t="shared" si="2"/>
        <v>#DIV/0!</v>
      </c>
      <c r="AC8" s="17"/>
      <c r="AD8" s="17"/>
      <c r="AE8" s="2"/>
      <c r="AF8" s="2"/>
      <c r="AG8" s="2"/>
      <c r="AH8" s="2"/>
      <c r="AI8" s="2"/>
      <c r="AJ8" s="2"/>
      <c r="AK8" s="2"/>
      <c r="AL8" s="2"/>
    </row>
    <row r="9" ht="45.75" customHeight="1">
      <c r="A9" s="18" t="s">
        <v>33</v>
      </c>
      <c r="B9" s="19"/>
      <c r="C9" s="19"/>
      <c r="D9" s="19"/>
      <c r="E9" s="19"/>
      <c r="F9" s="19"/>
      <c r="G9" s="19"/>
      <c r="H9" s="19"/>
      <c r="I9" s="19"/>
      <c r="J9" s="19"/>
      <c r="K9" s="20"/>
      <c r="L9" s="21"/>
      <c r="M9" s="2"/>
      <c r="N9" s="34" t="s">
        <v>35</v>
      </c>
      <c r="O9" s="19"/>
      <c r="P9" s="19"/>
      <c r="Q9" s="20"/>
      <c r="R9" s="35" t="s">
        <v>36</v>
      </c>
      <c r="S9" s="17"/>
      <c r="V9" s="2"/>
      <c r="W9" s="2"/>
      <c r="X9" s="9" t="s">
        <v>37</v>
      </c>
      <c r="Y9" s="9"/>
      <c r="Z9" s="9"/>
      <c r="AA9" s="9"/>
      <c r="AB9" s="9"/>
      <c r="AC9" s="9"/>
      <c r="AD9" s="9"/>
      <c r="AE9" s="2"/>
      <c r="AF9" s="2"/>
      <c r="AG9" s="2"/>
      <c r="AH9" s="2"/>
      <c r="AI9" s="2"/>
      <c r="AJ9" s="2"/>
      <c r="AK9" s="2"/>
      <c r="AL9" s="2"/>
    </row>
    <row r="10" ht="54.0" customHeight="1">
      <c r="A10" s="18" t="s">
        <v>38</v>
      </c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21"/>
      <c r="M10" s="2"/>
      <c r="N10" s="36" t="s">
        <v>39</v>
      </c>
      <c r="O10" s="19"/>
      <c r="P10" s="19"/>
      <c r="Q10" s="20"/>
      <c r="R10" s="37">
        <v>3.0</v>
      </c>
      <c r="V10" s="38"/>
      <c r="W10" s="38"/>
      <c r="X10" s="11" t="s">
        <v>7</v>
      </c>
      <c r="Y10" s="11" t="s">
        <v>8</v>
      </c>
      <c r="Z10" s="11" t="s">
        <v>9</v>
      </c>
      <c r="AA10" s="11" t="s">
        <v>11</v>
      </c>
      <c r="AB10" s="26" t="s">
        <v>12</v>
      </c>
      <c r="AC10" s="17"/>
      <c r="AD10" s="17"/>
      <c r="AE10" s="2"/>
      <c r="AF10" s="2"/>
      <c r="AG10" s="2"/>
      <c r="AH10" s="2"/>
      <c r="AI10" s="2"/>
      <c r="AJ10" s="2"/>
      <c r="AK10" s="2"/>
      <c r="AL10" s="2"/>
    </row>
    <row r="11" ht="54.0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2"/>
      <c r="N11" s="36" t="s">
        <v>40</v>
      </c>
      <c r="O11" s="19"/>
      <c r="P11" s="19"/>
      <c r="Q11" s="20"/>
      <c r="R11" s="37">
        <v>2.0</v>
      </c>
      <c r="V11" s="38"/>
      <c r="W11" s="38"/>
      <c r="X11" s="30" t="s">
        <v>41</v>
      </c>
      <c r="Y11" s="27" t="str">
        <f>$Q$98</f>
        <v>#DIV/0!</v>
      </c>
      <c r="Z11" s="27" t="str">
        <f>$R$98</f>
        <v>#DIV/0!</v>
      </c>
      <c r="AA11" s="29" t="str">
        <f>$S$98</f>
        <v>#DIV/0!</v>
      </c>
      <c r="AB11" s="30" t="str">
        <f>$T$98</f>
        <v>#DIV/0!</v>
      </c>
      <c r="AC11" s="17"/>
      <c r="AD11" s="17"/>
      <c r="AE11" s="2"/>
      <c r="AF11" s="2"/>
      <c r="AG11" s="2"/>
      <c r="AH11" s="2"/>
      <c r="AI11" s="2"/>
      <c r="AJ11" s="2"/>
      <c r="AK11" s="2"/>
      <c r="AL11" s="2"/>
    </row>
    <row r="12" ht="30.0" customHeight="1">
      <c r="M12" s="2"/>
      <c r="N12" s="36" t="s">
        <v>43</v>
      </c>
      <c r="O12" s="19"/>
      <c r="P12" s="19"/>
      <c r="Q12" s="20"/>
      <c r="R12" s="37">
        <v>1.0</v>
      </c>
      <c r="V12" s="38"/>
      <c r="W12" s="38"/>
      <c r="X12" s="41" t="s">
        <v>44</v>
      </c>
      <c r="Y12" s="42">
        <v>3.0</v>
      </c>
      <c r="Z12" s="42">
        <v>3.0</v>
      </c>
      <c r="AA12" s="42">
        <v>3.0</v>
      </c>
      <c r="AB12" s="43">
        <v>3.0</v>
      </c>
      <c r="AC12" s="44"/>
      <c r="AD12" s="44"/>
      <c r="AE12" s="2"/>
      <c r="AF12" s="2"/>
      <c r="AG12" s="2"/>
      <c r="AH12" s="2"/>
      <c r="AI12" s="2"/>
      <c r="AJ12" s="2"/>
      <c r="AK12" s="2"/>
      <c r="AL12" s="2"/>
    </row>
    <row r="13" ht="48.0" customHeight="1">
      <c r="A13" s="45" t="s">
        <v>45</v>
      </c>
      <c r="H13" s="46"/>
      <c r="I13" s="46"/>
      <c r="M13" s="2"/>
      <c r="N13" s="9" t="s">
        <v>46</v>
      </c>
      <c r="P13" s="38"/>
      <c r="Q13" s="38"/>
      <c r="R13" s="38"/>
      <c r="S13" s="38"/>
      <c r="T13" s="38"/>
      <c r="U13" s="38"/>
      <c r="V13" s="38"/>
      <c r="W13" s="38"/>
      <c r="X13" s="47" t="s">
        <v>37</v>
      </c>
      <c r="Y13" s="48" t="str">
        <f t="shared" ref="Y13:AB13" si="3">Y11*0.8+Y12*0.2</f>
        <v>#DIV/0!</v>
      </c>
      <c r="Z13" s="48" t="str">
        <f t="shared" si="3"/>
        <v>#DIV/0!</v>
      </c>
      <c r="AA13" s="48" t="str">
        <f t="shared" si="3"/>
        <v>#DIV/0!</v>
      </c>
      <c r="AB13" s="50" t="str">
        <f t="shared" si="3"/>
        <v>#DIV/0!</v>
      </c>
      <c r="AC13" s="44"/>
      <c r="AD13" s="44"/>
      <c r="AE13" s="2"/>
      <c r="AF13" s="2"/>
      <c r="AG13" s="2"/>
      <c r="AH13" s="2"/>
      <c r="AI13" s="2"/>
      <c r="AJ13" s="2"/>
      <c r="AK13" s="2"/>
      <c r="AL13" s="2"/>
    </row>
    <row r="14" ht="42.0" customHeight="1">
      <c r="A14" s="52" t="s">
        <v>47</v>
      </c>
      <c r="B14" s="53" t="s">
        <v>48</v>
      </c>
      <c r="C14" s="19"/>
      <c r="D14" s="19"/>
      <c r="E14" s="19"/>
      <c r="F14" s="20"/>
      <c r="G14" s="54"/>
      <c r="I14" s="55"/>
      <c r="M14" s="2"/>
      <c r="N14" s="56"/>
      <c r="O14" s="57" t="s">
        <v>49</v>
      </c>
      <c r="P14" s="57" t="s">
        <v>50</v>
      </c>
      <c r="Q14" s="57" t="s">
        <v>51</v>
      </c>
      <c r="R14" s="57" t="s">
        <v>52</v>
      </c>
      <c r="S14" s="57" t="s">
        <v>53</v>
      </c>
      <c r="T14" s="57" t="s">
        <v>54</v>
      </c>
      <c r="U14" s="57" t="s">
        <v>55</v>
      </c>
      <c r="V14" s="57" t="s">
        <v>56</v>
      </c>
      <c r="W14" s="57" t="s">
        <v>57</v>
      </c>
      <c r="X14" s="57" t="s">
        <v>58</v>
      </c>
      <c r="Y14" s="57" t="s">
        <v>59</v>
      </c>
      <c r="Z14" s="57" t="s">
        <v>60</v>
      </c>
      <c r="AA14" s="56" t="s">
        <v>61</v>
      </c>
      <c r="AB14" s="56" t="s">
        <v>62</v>
      </c>
      <c r="AE14" s="2"/>
      <c r="AF14" s="2"/>
      <c r="AG14" s="2"/>
      <c r="AH14" s="2"/>
      <c r="AI14" s="2"/>
      <c r="AJ14" s="2"/>
      <c r="AK14" s="2"/>
      <c r="AL14" s="2"/>
    </row>
    <row r="15" ht="30.75" customHeight="1">
      <c r="A15" s="58"/>
      <c r="B15" s="59" t="s">
        <v>8</v>
      </c>
      <c r="C15" s="59" t="s">
        <v>9</v>
      </c>
      <c r="D15" s="59" t="s">
        <v>11</v>
      </c>
      <c r="E15" s="59" t="s">
        <v>12</v>
      </c>
      <c r="F15" s="59" t="s">
        <v>63</v>
      </c>
      <c r="G15" s="38"/>
      <c r="I15" s="38"/>
      <c r="J15" s="38"/>
      <c r="K15" s="38"/>
      <c r="L15" s="60"/>
      <c r="M15" s="2"/>
      <c r="N15" s="57" t="s">
        <v>8</v>
      </c>
      <c r="O15" s="61">
        <v>3.0</v>
      </c>
      <c r="P15" s="61">
        <v>3.0</v>
      </c>
      <c r="Q15" s="61">
        <v>1.0</v>
      </c>
      <c r="R15" s="61">
        <v>2.0</v>
      </c>
      <c r="S15" s="61"/>
      <c r="T15" s="61"/>
      <c r="U15" s="61"/>
      <c r="V15" s="61"/>
      <c r="W15" s="61"/>
      <c r="X15" s="61">
        <v>1.0</v>
      </c>
      <c r="Y15" s="61"/>
      <c r="Z15" s="63">
        <v>2.0</v>
      </c>
      <c r="AA15" s="63">
        <v>3.0</v>
      </c>
      <c r="AB15" s="65">
        <v>1.0</v>
      </c>
      <c r="AE15" s="68" t="s">
        <v>64</v>
      </c>
      <c r="AF15" s="19"/>
      <c r="AG15" s="20"/>
      <c r="AH15" s="2"/>
      <c r="AI15" s="2"/>
      <c r="AJ15" s="2"/>
      <c r="AK15" s="2"/>
      <c r="AL15" s="2"/>
    </row>
    <row r="16" ht="30.75" customHeight="1">
      <c r="A16" s="69" t="s">
        <v>17</v>
      </c>
      <c r="B16" s="37">
        <v>10.0</v>
      </c>
      <c r="C16" s="37">
        <v>10.0</v>
      </c>
      <c r="D16" s="37"/>
      <c r="E16" s="71"/>
      <c r="F16" s="74">
        <f t="shared" ref="F16:F18" si="4">SUM(B16:E16)</f>
        <v>20</v>
      </c>
      <c r="G16" s="49"/>
      <c r="I16" s="38"/>
      <c r="J16" s="38"/>
      <c r="K16" s="38"/>
      <c r="M16" s="2"/>
      <c r="N16" s="57" t="s">
        <v>9</v>
      </c>
      <c r="O16" s="61">
        <v>3.0</v>
      </c>
      <c r="P16" s="61">
        <v>3.0</v>
      </c>
      <c r="Q16" s="61">
        <v>1.0</v>
      </c>
      <c r="R16" s="61">
        <v>3.0</v>
      </c>
      <c r="S16" s="61"/>
      <c r="T16" s="61"/>
      <c r="U16" s="61"/>
      <c r="V16" s="61"/>
      <c r="W16" s="61"/>
      <c r="X16" s="61">
        <v>1.0</v>
      </c>
      <c r="Y16" s="61"/>
      <c r="Z16" s="63">
        <v>2.0</v>
      </c>
      <c r="AA16" s="63">
        <v>3.0</v>
      </c>
      <c r="AB16" s="65">
        <v>1.0</v>
      </c>
      <c r="AE16" s="76" t="s">
        <v>65</v>
      </c>
      <c r="AF16" s="20"/>
      <c r="AG16" s="37">
        <v>45.0</v>
      </c>
      <c r="AH16" s="2"/>
      <c r="AI16" s="2"/>
      <c r="AJ16" s="2"/>
      <c r="AK16" s="2"/>
      <c r="AL16" s="2"/>
    </row>
    <row r="17" ht="30.75" customHeight="1">
      <c r="A17" s="69" t="s">
        <v>22</v>
      </c>
      <c r="B17" s="37"/>
      <c r="C17" s="37"/>
      <c r="D17" s="37">
        <v>10.0</v>
      </c>
      <c r="E17" s="71">
        <v>10.0</v>
      </c>
      <c r="F17" s="74">
        <f t="shared" si="4"/>
        <v>20</v>
      </c>
      <c r="G17" s="49"/>
      <c r="I17" s="38"/>
      <c r="J17" s="38"/>
      <c r="K17" s="38"/>
      <c r="L17" s="60"/>
      <c r="M17" s="2"/>
      <c r="N17" s="57" t="s">
        <v>11</v>
      </c>
      <c r="O17" s="61">
        <v>3.0</v>
      </c>
      <c r="P17" s="61">
        <v>3.0</v>
      </c>
      <c r="Q17" s="61">
        <v>2.0</v>
      </c>
      <c r="R17" s="61">
        <v>2.0</v>
      </c>
      <c r="S17" s="61"/>
      <c r="T17" s="61"/>
      <c r="U17" s="61"/>
      <c r="V17" s="61"/>
      <c r="W17" s="61"/>
      <c r="X17" s="61">
        <v>2.0</v>
      </c>
      <c r="Y17" s="61"/>
      <c r="Z17" s="63">
        <v>2.0</v>
      </c>
      <c r="AA17" s="63">
        <v>3.0</v>
      </c>
      <c r="AB17" s="65">
        <v>2.0</v>
      </c>
      <c r="AE17" s="77" t="s">
        <v>66</v>
      </c>
      <c r="AF17" s="19"/>
      <c r="AG17" s="20"/>
      <c r="AH17" s="2"/>
      <c r="AI17" s="2"/>
      <c r="AJ17" s="2"/>
      <c r="AK17" s="2"/>
      <c r="AL17" s="2"/>
    </row>
    <row r="18" ht="30.75" customHeight="1">
      <c r="A18" s="78" t="s">
        <v>25</v>
      </c>
      <c r="B18" s="79">
        <v>1.6667</v>
      </c>
      <c r="C18" s="79">
        <v>1.6667</v>
      </c>
      <c r="D18" s="79">
        <v>1.6667</v>
      </c>
      <c r="E18" s="80">
        <v>1.6667</v>
      </c>
      <c r="F18" s="74">
        <f t="shared" si="4"/>
        <v>6.6668</v>
      </c>
      <c r="G18" s="49"/>
      <c r="I18" s="38"/>
      <c r="J18" s="38"/>
      <c r="K18" s="38"/>
      <c r="M18" s="2"/>
      <c r="N18" s="57" t="s">
        <v>12</v>
      </c>
      <c r="O18" s="61">
        <v>3.0</v>
      </c>
      <c r="P18" s="61">
        <v>3.0</v>
      </c>
      <c r="Q18" s="61">
        <v>2.0</v>
      </c>
      <c r="R18" s="61">
        <v>3.0</v>
      </c>
      <c r="S18" s="61"/>
      <c r="T18" s="61"/>
      <c r="U18" s="61"/>
      <c r="V18" s="61"/>
      <c r="W18" s="61"/>
      <c r="X18" s="61">
        <v>2.0</v>
      </c>
      <c r="Y18" s="61"/>
      <c r="Z18" s="63">
        <v>2.0</v>
      </c>
      <c r="AA18" s="63">
        <v>3.0</v>
      </c>
      <c r="AB18" s="65">
        <v>1.0</v>
      </c>
      <c r="AE18" s="74" t="s">
        <v>67</v>
      </c>
      <c r="AF18" s="37" t="s">
        <v>68</v>
      </c>
      <c r="AG18" s="37" t="s">
        <v>69</v>
      </c>
      <c r="AH18" s="2"/>
      <c r="AI18" s="2"/>
      <c r="AJ18" s="2"/>
      <c r="AK18" s="2"/>
      <c r="AL18" s="2"/>
    </row>
    <row r="19" ht="49.5" customHeight="1">
      <c r="A19" s="81" t="s">
        <v>70</v>
      </c>
      <c r="B19" s="19"/>
      <c r="C19" s="19"/>
      <c r="D19" s="19"/>
      <c r="E19" s="19"/>
      <c r="F19" s="20"/>
      <c r="G19" s="82"/>
      <c r="I19" s="38"/>
      <c r="J19" s="38"/>
      <c r="K19" s="38"/>
      <c r="M19" s="2"/>
      <c r="N19" s="83" t="s">
        <v>71</v>
      </c>
      <c r="O19" s="85" t="str">
        <f t="shared" ref="O19:AB19" si="5">IF(SUM(O15:O18)=0," ",((O15*$Y$13+O16*$Z$13+O17*$AA$13+O18*$AB$13)/SUM(O15:O18)))</f>
        <v>#DIV/0!</v>
      </c>
      <c r="P19" s="85" t="str">
        <f t="shared" si="5"/>
        <v>#DIV/0!</v>
      </c>
      <c r="Q19" s="85" t="str">
        <f t="shared" si="5"/>
        <v>#DIV/0!</v>
      </c>
      <c r="R19" s="85" t="str">
        <f t="shared" si="5"/>
        <v>#DIV/0!</v>
      </c>
      <c r="S19" s="85" t="str">
        <f t="shared" si="5"/>
        <v> </v>
      </c>
      <c r="T19" s="85" t="str">
        <f t="shared" si="5"/>
        <v> </v>
      </c>
      <c r="U19" s="85" t="str">
        <f t="shared" si="5"/>
        <v> </v>
      </c>
      <c r="V19" s="85" t="str">
        <f t="shared" si="5"/>
        <v> </v>
      </c>
      <c r="W19" s="85" t="str">
        <f t="shared" si="5"/>
        <v> </v>
      </c>
      <c r="X19" s="85" t="str">
        <f t="shared" si="5"/>
        <v>#DIV/0!</v>
      </c>
      <c r="Y19" s="85" t="str">
        <f t="shared" si="5"/>
        <v> </v>
      </c>
      <c r="Z19" s="85" t="str">
        <f t="shared" si="5"/>
        <v>#DIV/0!</v>
      </c>
      <c r="AA19" s="85" t="str">
        <f t="shared" si="5"/>
        <v>#DIV/0!</v>
      </c>
      <c r="AB19" s="85" t="str">
        <f t="shared" si="5"/>
        <v>#DIV/0!</v>
      </c>
      <c r="AE19" s="74">
        <v>55.0</v>
      </c>
      <c r="AF19" s="37">
        <v>100.0</v>
      </c>
      <c r="AG19" s="37">
        <v>3.0</v>
      </c>
      <c r="AH19" s="2"/>
      <c r="AI19" s="2"/>
      <c r="AJ19" s="2"/>
      <c r="AK19" s="2"/>
      <c r="AL19" s="2"/>
    </row>
    <row r="20" ht="29.25" customHeight="1">
      <c r="A20" s="88" t="s">
        <v>72</v>
      </c>
      <c r="B20" s="89">
        <v>10.0</v>
      </c>
      <c r="C20" s="89">
        <v>10.0</v>
      </c>
      <c r="D20" s="89">
        <v>10.0</v>
      </c>
      <c r="E20" s="101">
        <v>10.0</v>
      </c>
      <c r="F20" s="90">
        <f>SUM(B20:E20)</f>
        <v>40</v>
      </c>
      <c r="G20" s="49"/>
      <c r="I20" s="38"/>
      <c r="J20" s="38"/>
      <c r="K20" s="38"/>
      <c r="M20" s="2"/>
      <c r="N20" s="94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E20" s="37">
        <v>45.0</v>
      </c>
      <c r="AF20" s="37">
        <v>54.0</v>
      </c>
      <c r="AG20" s="37">
        <v>2.0</v>
      </c>
      <c r="AH20" s="2"/>
      <c r="AI20" s="2"/>
      <c r="AJ20" s="2"/>
      <c r="AK20" s="2"/>
      <c r="AL20" s="2"/>
    </row>
    <row r="21" ht="40.5" customHeight="1">
      <c r="I21" s="38"/>
      <c r="J21" s="38"/>
      <c r="K21" s="38"/>
      <c r="M21" s="2"/>
      <c r="U21" s="2"/>
      <c r="V21" s="2"/>
      <c r="AE21" s="37">
        <v>0.0</v>
      </c>
      <c r="AF21" s="37">
        <v>44.0</v>
      </c>
      <c r="AG21" s="37">
        <v>1.0</v>
      </c>
      <c r="AH21" s="2"/>
      <c r="AI21" s="2"/>
      <c r="AJ21" s="2"/>
      <c r="AK21" s="2"/>
      <c r="AL21" s="2"/>
    </row>
    <row r="22" ht="45.75" customHeight="1">
      <c r="M22" s="2"/>
      <c r="U22" s="2"/>
      <c r="V22" s="2"/>
      <c r="AH22" s="2"/>
      <c r="AI22" s="2"/>
      <c r="AJ22" s="2"/>
      <c r="AK22" s="2"/>
      <c r="AL22" s="2"/>
    </row>
    <row r="23" ht="24.0" customHeight="1">
      <c r="I23" s="38"/>
      <c r="M23" s="2"/>
      <c r="U23" s="2"/>
      <c r="V23" s="2"/>
      <c r="Y23" s="2"/>
      <c r="Z23" s="2"/>
    </row>
    <row r="24" ht="14.25" customHeight="1">
      <c r="A24" s="96" t="s">
        <v>73</v>
      </c>
      <c r="B24" s="97"/>
      <c r="C24" s="97"/>
      <c r="D24" s="97"/>
      <c r="E24" s="97"/>
      <c r="F24" s="97"/>
      <c r="G24" s="97"/>
      <c r="H24" s="97"/>
      <c r="I24" s="97"/>
      <c r="M24" s="2"/>
      <c r="U24" s="2"/>
      <c r="V24" s="2"/>
      <c r="W24" s="38"/>
      <c r="X24" s="38"/>
      <c r="Y24" s="38"/>
      <c r="Z24" s="38"/>
      <c r="AA24" s="38"/>
      <c r="AB24" s="38"/>
      <c r="AC24" s="38"/>
    </row>
    <row r="25" ht="14.25" customHeight="1">
      <c r="B25" s="97"/>
      <c r="C25" s="97"/>
      <c r="D25" s="97"/>
      <c r="E25" s="97"/>
      <c r="I25" s="97"/>
      <c r="Q25" s="116" t="s">
        <v>75</v>
      </c>
      <c r="R25" s="116"/>
      <c r="S25" s="116"/>
      <c r="T25" s="116"/>
      <c r="U25" s="2"/>
      <c r="V25" s="2"/>
      <c r="W25" s="2"/>
      <c r="X25" s="2"/>
      <c r="Y25" s="119"/>
      <c r="Z25" s="119"/>
      <c r="AA25" s="121"/>
      <c r="AG25" s="122"/>
      <c r="AH25" s="38"/>
      <c r="AI25" s="38"/>
    </row>
    <row r="26" ht="14.25" customHeight="1">
      <c r="A26" s="100" t="s">
        <v>76</v>
      </c>
      <c r="B26" s="100" t="s">
        <v>77</v>
      </c>
      <c r="C26" s="102" t="s">
        <v>78</v>
      </c>
      <c r="D26" s="19"/>
      <c r="E26" s="19"/>
      <c r="F26" s="20"/>
      <c r="G26" s="104" t="s">
        <v>79</v>
      </c>
      <c r="H26" s="19"/>
      <c r="I26" s="19"/>
      <c r="J26" s="20"/>
      <c r="K26" s="106" t="s">
        <v>72</v>
      </c>
      <c r="L26" s="19"/>
      <c r="M26" s="19"/>
      <c r="N26" s="20"/>
      <c r="O26" s="107" t="s">
        <v>80</v>
      </c>
      <c r="P26" s="127" t="s">
        <v>25</v>
      </c>
      <c r="Q26" s="128" t="s">
        <v>81</v>
      </c>
      <c r="R26" s="130"/>
      <c r="S26" s="130"/>
      <c r="T26" s="130"/>
      <c r="U26" s="2"/>
      <c r="V26" s="2"/>
      <c r="W26" s="2"/>
      <c r="X26" s="2"/>
      <c r="Y26" s="132"/>
      <c r="Z26" s="132"/>
      <c r="AB26" s="110"/>
      <c r="AG26" s="134"/>
      <c r="AH26" s="134"/>
      <c r="AI26" s="38"/>
    </row>
    <row r="27" ht="14.25" customHeight="1">
      <c r="A27" s="111"/>
      <c r="B27" s="111"/>
      <c r="C27" s="112" t="s">
        <v>8</v>
      </c>
      <c r="D27" s="112" t="s">
        <v>9</v>
      </c>
      <c r="E27" s="112" t="s">
        <v>82</v>
      </c>
      <c r="F27" s="112" t="s">
        <v>83</v>
      </c>
      <c r="G27" s="113" t="s">
        <v>12</v>
      </c>
      <c r="H27" s="113" t="s">
        <v>13</v>
      </c>
      <c r="I27" s="113" t="s">
        <v>82</v>
      </c>
      <c r="J27" s="112" t="s">
        <v>83</v>
      </c>
      <c r="K27" s="114" t="s">
        <v>8</v>
      </c>
      <c r="L27" s="114" t="s">
        <v>9</v>
      </c>
      <c r="M27" s="114" t="s">
        <v>11</v>
      </c>
      <c r="N27" s="114" t="s">
        <v>12</v>
      </c>
      <c r="O27" s="58"/>
      <c r="P27" s="58"/>
      <c r="Q27" s="118" t="s">
        <v>84</v>
      </c>
      <c r="R27" s="118" t="s">
        <v>85</v>
      </c>
      <c r="S27" s="118" t="s">
        <v>86</v>
      </c>
      <c r="T27" s="118" t="s">
        <v>87</v>
      </c>
      <c r="U27" s="2"/>
      <c r="V27" s="2"/>
      <c r="W27" s="2"/>
      <c r="X27" s="2"/>
      <c r="Y27" s="120"/>
      <c r="Z27" s="120"/>
      <c r="AB27" s="120"/>
      <c r="AC27" s="120"/>
      <c r="AD27" s="120"/>
      <c r="AE27" s="120"/>
      <c r="AF27" s="120"/>
      <c r="AG27" s="134"/>
      <c r="AH27" s="134"/>
      <c r="AI27" s="38"/>
    </row>
    <row r="28" ht="14.25" customHeight="1">
      <c r="A28" s="58"/>
      <c r="B28" s="58"/>
      <c r="C28" s="123">
        <v>10.0</v>
      </c>
      <c r="D28" s="123">
        <v>10.0</v>
      </c>
      <c r="E28" s="123">
        <f t="shared" ref="E28:E93" si="6">SUM(C28:D28)</f>
        <v>20</v>
      </c>
      <c r="F28" s="125">
        <f t="shared" ref="F28:F93" si="7">E28*100/$E$28</f>
        <v>100</v>
      </c>
      <c r="G28" s="126">
        <v>10.0</v>
      </c>
      <c r="H28" s="126">
        <v>10.0</v>
      </c>
      <c r="I28" s="126">
        <f t="shared" ref="I28:I93" si="8">SUM(G28:H28)</f>
        <v>20</v>
      </c>
      <c r="J28" s="125">
        <f t="shared" ref="J28:J93" si="9">I28*100/$I$28</f>
        <v>100</v>
      </c>
      <c r="K28" s="115">
        <v>9.0</v>
      </c>
      <c r="L28" s="115">
        <v>6.0</v>
      </c>
      <c r="M28" s="115">
        <v>6.0</v>
      </c>
      <c r="N28" s="115">
        <v>9.0</v>
      </c>
      <c r="O28" s="126">
        <f t="shared" ref="O28:O93" si="10">SUM(K28:N28)</f>
        <v>30</v>
      </c>
      <c r="P28" s="136">
        <v>10.0</v>
      </c>
      <c r="Q28" s="135">
        <f t="shared" ref="Q28:Q93" si="11">((IF($C$27="CO1",C28*100/$C$28,IF($D$27="CO1",D28*100/$D$28))+IF($G$27="CO1",G28*100/$G$28,IF($H$27="CO1",H28*100/$H$28,))+(P28*100/$P$28))/(COUNTIF($C$27:$J$27,"CO1")+1))*0.4+((K28*100/$K$28)*0.6)</f>
        <v>100</v>
      </c>
      <c r="R28" s="135">
        <f t="shared" ref="R28:R93" si="12">((IF($C$27="CO2",C28*100/$C$28,IF($D$27="CO2",D28*100/$D$28))+IF($G$27="CO2",G28*100/$G$28,IF($H$27="CO2",H28*100/$H$28))+(P28*100/$P$28))/(COUNTIF($C$27:$J$27,"CO2")+1))*0.4+((L28*100/$L$28)*0.6)</f>
        <v>100</v>
      </c>
      <c r="S28" s="135">
        <f t="shared" ref="S28:S93" si="13">((IF($C$27="CO3",C28*100/$C$28,IF($D$27="CO3",D28*100/$D$28))+IF($G$27="CO3",G28*100/$G$28,IF($H$27="CO3",H28*100/$H$28))+(P28*100/$P$28))/(COUNTIF($C$27:$J$27,"CO3")+1))*0.4+((M28*100/$M$28)*0.6)</f>
        <v>100</v>
      </c>
      <c r="T28" s="135">
        <f t="shared" ref="T28:T93" si="14">((IF($C$27="CO4",C28*100/$C$28,IF($D$27="CO4",D28*100/$D$28))+IF($G$27="CO4",G28*100/$G$28,IF($H$27="CO4",H28*100/$H$28))+(P28*100/$P$28))/(COUNTIF($C$27:$J$27,"CO4")+1))*0.4+((N28*100/$N$28)*0.6)</f>
        <v>100</v>
      </c>
      <c r="U28" s="2"/>
      <c r="V28" s="2"/>
      <c r="W28" s="2"/>
      <c r="X28" s="2"/>
      <c r="Y28" s="138"/>
      <c r="Z28" s="138"/>
      <c r="AB28" s="120"/>
      <c r="AC28" s="120"/>
      <c r="AD28" s="120"/>
      <c r="AE28" s="120"/>
      <c r="AF28" s="120"/>
      <c r="AG28" s="134"/>
      <c r="AH28" s="134"/>
      <c r="AI28" s="38"/>
    </row>
    <row r="29" ht="18.75" customHeight="1">
      <c r="A29" s="146"/>
      <c r="B29" s="147"/>
      <c r="C29" s="124"/>
      <c r="D29" s="124"/>
      <c r="E29" s="123">
        <f t="shared" si="6"/>
        <v>0</v>
      </c>
      <c r="F29" s="125">
        <f t="shared" si="7"/>
        <v>0</v>
      </c>
      <c r="G29" s="148"/>
      <c r="H29" s="148"/>
      <c r="I29" s="126">
        <f t="shared" si="8"/>
        <v>0</v>
      </c>
      <c r="J29" s="125">
        <f t="shared" si="9"/>
        <v>0</v>
      </c>
      <c r="K29" s="149"/>
      <c r="L29" s="149"/>
      <c r="M29" s="149"/>
      <c r="N29" s="149"/>
      <c r="O29" s="126">
        <f t="shared" si="10"/>
        <v>0</v>
      </c>
      <c r="P29" s="148"/>
      <c r="Q29" s="135">
        <f t="shared" si="11"/>
        <v>0</v>
      </c>
      <c r="R29" s="135">
        <f t="shared" si="12"/>
        <v>0</v>
      </c>
      <c r="S29" s="135">
        <f t="shared" si="13"/>
        <v>0</v>
      </c>
      <c r="T29" s="135">
        <f t="shared" si="14"/>
        <v>0</v>
      </c>
      <c r="U29" s="2"/>
      <c r="V29" s="2"/>
      <c r="W29" s="2"/>
      <c r="X29" s="2"/>
      <c r="Y29" s="138"/>
      <c r="Z29" s="138"/>
      <c r="AB29" s="138"/>
      <c r="AC29" s="138"/>
      <c r="AD29" s="138"/>
      <c r="AE29" s="138"/>
      <c r="AF29" s="138"/>
      <c r="AG29" s="134"/>
      <c r="AH29" s="134"/>
      <c r="AI29" s="38"/>
    </row>
    <row r="30" ht="18.75" customHeight="1">
      <c r="A30" s="146"/>
      <c r="B30" s="150"/>
      <c r="C30" s="124"/>
      <c r="D30" s="124"/>
      <c r="E30" s="123">
        <f t="shared" si="6"/>
        <v>0</v>
      </c>
      <c r="F30" s="125">
        <f t="shared" si="7"/>
        <v>0</v>
      </c>
      <c r="G30" s="148"/>
      <c r="H30" s="148"/>
      <c r="I30" s="126">
        <f t="shared" si="8"/>
        <v>0</v>
      </c>
      <c r="J30" s="125">
        <f t="shared" si="9"/>
        <v>0</v>
      </c>
      <c r="K30" s="149"/>
      <c r="L30" s="149"/>
      <c r="M30" s="149"/>
      <c r="N30" s="149"/>
      <c r="O30" s="126">
        <f t="shared" si="10"/>
        <v>0</v>
      </c>
      <c r="P30" s="148"/>
      <c r="Q30" s="135">
        <f t="shared" si="11"/>
        <v>0</v>
      </c>
      <c r="R30" s="135">
        <f t="shared" si="12"/>
        <v>0</v>
      </c>
      <c r="S30" s="135">
        <f t="shared" si="13"/>
        <v>0</v>
      </c>
      <c r="T30" s="135">
        <f t="shared" si="14"/>
        <v>0</v>
      </c>
      <c r="U30" s="2"/>
      <c r="V30" s="2"/>
      <c r="W30" s="2"/>
      <c r="X30" s="2"/>
      <c r="Y30" s="138"/>
      <c r="Z30" s="138"/>
      <c r="AB30" s="138"/>
      <c r="AC30" s="138"/>
      <c r="AD30" s="138"/>
      <c r="AE30" s="138"/>
      <c r="AF30" s="138"/>
      <c r="AG30" s="134"/>
      <c r="AH30" s="134"/>
      <c r="AI30" s="38"/>
    </row>
    <row r="31" ht="18.75" customHeight="1">
      <c r="A31" s="146"/>
      <c r="B31" s="151"/>
      <c r="C31" s="124"/>
      <c r="D31" s="124"/>
      <c r="E31" s="123">
        <f t="shared" si="6"/>
        <v>0</v>
      </c>
      <c r="F31" s="125">
        <f t="shared" si="7"/>
        <v>0</v>
      </c>
      <c r="G31" s="148"/>
      <c r="H31" s="148"/>
      <c r="I31" s="126">
        <f t="shared" si="8"/>
        <v>0</v>
      </c>
      <c r="J31" s="125">
        <f t="shared" si="9"/>
        <v>0</v>
      </c>
      <c r="K31" s="149"/>
      <c r="L31" s="149"/>
      <c r="M31" s="149"/>
      <c r="N31" s="149"/>
      <c r="O31" s="126">
        <f t="shared" si="10"/>
        <v>0</v>
      </c>
      <c r="P31" s="148"/>
      <c r="Q31" s="135">
        <f t="shared" si="11"/>
        <v>0</v>
      </c>
      <c r="R31" s="135">
        <f t="shared" si="12"/>
        <v>0</v>
      </c>
      <c r="S31" s="135">
        <f t="shared" si="13"/>
        <v>0</v>
      </c>
      <c r="T31" s="135">
        <f t="shared" si="14"/>
        <v>0</v>
      </c>
      <c r="U31" s="2"/>
      <c r="V31" s="2"/>
      <c r="W31" s="2"/>
      <c r="X31" s="2"/>
      <c r="Y31" s="138"/>
      <c r="Z31" s="138"/>
      <c r="AB31" s="138"/>
      <c r="AC31" s="138"/>
      <c r="AD31" s="138"/>
      <c r="AE31" s="138"/>
      <c r="AF31" s="138"/>
      <c r="AG31" s="134"/>
      <c r="AH31" s="134"/>
      <c r="AI31" s="38"/>
    </row>
    <row r="32" ht="18.75" customHeight="1">
      <c r="A32" s="146"/>
      <c r="B32" s="152"/>
      <c r="C32" s="124"/>
      <c r="D32" s="124"/>
      <c r="E32" s="123">
        <f t="shared" si="6"/>
        <v>0</v>
      </c>
      <c r="F32" s="125">
        <f t="shared" si="7"/>
        <v>0</v>
      </c>
      <c r="G32" s="148"/>
      <c r="H32" s="148"/>
      <c r="I32" s="126">
        <f t="shared" si="8"/>
        <v>0</v>
      </c>
      <c r="J32" s="125">
        <f t="shared" si="9"/>
        <v>0</v>
      </c>
      <c r="K32" s="149"/>
      <c r="L32" s="149"/>
      <c r="M32" s="149"/>
      <c r="N32" s="149"/>
      <c r="O32" s="126">
        <f t="shared" si="10"/>
        <v>0</v>
      </c>
      <c r="P32" s="148"/>
      <c r="Q32" s="135">
        <f t="shared" si="11"/>
        <v>0</v>
      </c>
      <c r="R32" s="135">
        <f t="shared" si="12"/>
        <v>0</v>
      </c>
      <c r="S32" s="135">
        <f t="shared" si="13"/>
        <v>0</v>
      </c>
      <c r="T32" s="135">
        <f t="shared" si="14"/>
        <v>0</v>
      </c>
      <c r="U32" s="2"/>
      <c r="V32" s="2"/>
      <c r="W32" s="2"/>
      <c r="X32" s="2"/>
      <c r="Y32" s="138"/>
      <c r="Z32" s="138"/>
      <c r="AB32" s="138"/>
      <c r="AC32" s="138"/>
      <c r="AD32" s="138"/>
      <c r="AE32" s="138"/>
      <c r="AF32" s="138"/>
      <c r="AG32" s="134"/>
      <c r="AH32" s="134"/>
      <c r="AI32" s="38"/>
    </row>
    <row r="33" ht="18.75" customHeight="1">
      <c r="A33" s="146"/>
      <c r="B33" s="152"/>
      <c r="C33" s="124"/>
      <c r="D33" s="124"/>
      <c r="E33" s="123">
        <f t="shared" si="6"/>
        <v>0</v>
      </c>
      <c r="F33" s="125">
        <f t="shared" si="7"/>
        <v>0</v>
      </c>
      <c r="G33" s="148"/>
      <c r="H33" s="148"/>
      <c r="I33" s="126">
        <f t="shared" si="8"/>
        <v>0</v>
      </c>
      <c r="J33" s="125">
        <f t="shared" si="9"/>
        <v>0</v>
      </c>
      <c r="K33" s="149"/>
      <c r="L33" s="149"/>
      <c r="M33" s="149"/>
      <c r="N33" s="149"/>
      <c r="O33" s="126">
        <f t="shared" si="10"/>
        <v>0</v>
      </c>
      <c r="P33" s="148"/>
      <c r="Q33" s="135">
        <f t="shared" si="11"/>
        <v>0</v>
      </c>
      <c r="R33" s="135">
        <f t="shared" si="12"/>
        <v>0</v>
      </c>
      <c r="S33" s="135">
        <f t="shared" si="13"/>
        <v>0</v>
      </c>
      <c r="T33" s="135">
        <f t="shared" si="14"/>
        <v>0</v>
      </c>
      <c r="U33" s="2"/>
      <c r="V33" s="2"/>
      <c r="W33" s="2"/>
      <c r="X33" s="2"/>
      <c r="Y33" s="138"/>
      <c r="Z33" s="138"/>
      <c r="AB33" s="138"/>
      <c r="AC33" s="138"/>
      <c r="AD33" s="138"/>
      <c r="AE33" s="138"/>
      <c r="AF33" s="138"/>
      <c r="AG33" s="153"/>
      <c r="AH33" s="153"/>
      <c r="AI33" s="153"/>
    </row>
    <row r="34" ht="18.75" customHeight="1">
      <c r="A34" s="146"/>
      <c r="B34" s="152"/>
      <c r="C34" s="124"/>
      <c r="D34" s="124"/>
      <c r="E34" s="123">
        <f t="shared" si="6"/>
        <v>0</v>
      </c>
      <c r="F34" s="125">
        <f t="shared" si="7"/>
        <v>0</v>
      </c>
      <c r="G34" s="148"/>
      <c r="H34" s="148"/>
      <c r="I34" s="126">
        <f t="shared" si="8"/>
        <v>0</v>
      </c>
      <c r="J34" s="125">
        <f t="shared" si="9"/>
        <v>0</v>
      </c>
      <c r="K34" s="149"/>
      <c r="L34" s="149"/>
      <c r="M34" s="149"/>
      <c r="N34" s="149"/>
      <c r="O34" s="126">
        <f t="shared" si="10"/>
        <v>0</v>
      </c>
      <c r="P34" s="148"/>
      <c r="Q34" s="135">
        <f t="shared" si="11"/>
        <v>0</v>
      </c>
      <c r="R34" s="135">
        <f t="shared" si="12"/>
        <v>0</v>
      </c>
      <c r="S34" s="135">
        <f t="shared" si="13"/>
        <v>0</v>
      </c>
      <c r="T34" s="135">
        <f t="shared" si="14"/>
        <v>0</v>
      </c>
      <c r="U34" s="2"/>
      <c r="V34" s="2"/>
      <c r="W34" s="2"/>
      <c r="X34" s="2"/>
      <c r="Y34" s="138"/>
      <c r="Z34" s="138"/>
      <c r="AB34" s="138"/>
      <c r="AC34" s="138"/>
      <c r="AD34" s="138"/>
      <c r="AE34" s="138"/>
      <c r="AF34" s="138"/>
      <c r="AG34" s="153"/>
      <c r="AH34" s="153"/>
      <c r="AI34" s="153"/>
    </row>
    <row r="35" ht="18.75" customHeight="1">
      <c r="A35" s="146"/>
      <c r="B35" s="152"/>
      <c r="C35" s="124"/>
      <c r="D35" s="124"/>
      <c r="E35" s="123">
        <f t="shared" si="6"/>
        <v>0</v>
      </c>
      <c r="F35" s="125">
        <f t="shared" si="7"/>
        <v>0</v>
      </c>
      <c r="G35" s="148"/>
      <c r="H35" s="148"/>
      <c r="I35" s="126">
        <f t="shared" si="8"/>
        <v>0</v>
      </c>
      <c r="J35" s="125">
        <f t="shared" si="9"/>
        <v>0</v>
      </c>
      <c r="K35" s="149"/>
      <c r="L35" s="149"/>
      <c r="M35" s="149"/>
      <c r="N35" s="149"/>
      <c r="O35" s="126">
        <f t="shared" si="10"/>
        <v>0</v>
      </c>
      <c r="P35" s="148"/>
      <c r="Q35" s="135">
        <f t="shared" si="11"/>
        <v>0</v>
      </c>
      <c r="R35" s="135">
        <f t="shared" si="12"/>
        <v>0</v>
      </c>
      <c r="S35" s="135">
        <f t="shared" si="13"/>
        <v>0</v>
      </c>
      <c r="T35" s="135">
        <f t="shared" si="14"/>
        <v>0</v>
      </c>
      <c r="U35" s="2"/>
      <c r="V35" s="2"/>
      <c r="W35" s="2"/>
      <c r="X35" s="2"/>
      <c r="Y35" s="138"/>
      <c r="Z35" s="138"/>
      <c r="AB35" s="138"/>
      <c r="AC35" s="138"/>
      <c r="AD35" s="138"/>
      <c r="AE35" s="138"/>
      <c r="AF35" s="138"/>
      <c r="AG35" s="134"/>
      <c r="AH35" s="134"/>
      <c r="AI35" s="38"/>
    </row>
    <row r="36" ht="18.75" customHeight="1">
      <c r="A36" s="146"/>
      <c r="B36" s="152"/>
      <c r="C36" s="124"/>
      <c r="D36" s="124"/>
      <c r="E36" s="123">
        <f t="shared" si="6"/>
        <v>0</v>
      </c>
      <c r="F36" s="125">
        <f t="shared" si="7"/>
        <v>0</v>
      </c>
      <c r="G36" s="148"/>
      <c r="H36" s="148"/>
      <c r="I36" s="126">
        <f t="shared" si="8"/>
        <v>0</v>
      </c>
      <c r="J36" s="125">
        <f t="shared" si="9"/>
        <v>0</v>
      </c>
      <c r="K36" s="149"/>
      <c r="L36" s="149"/>
      <c r="M36" s="149"/>
      <c r="N36" s="149"/>
      <c r="O36" s="126">
        <f t="shared" si="10"/>
        <v>0</v>
      </c>
      <c r="P36" s="148"/>
      <c r="Q36" s="135">
        <f t="shared" si="11"/>
        <v>0</v>
      </c>
      <c r="R36" s="135">
        <f t="shared" si="12"/>
        <v>0</v>
      </c>
      <c r="S36" s="135">
        <f t="shared" si="13"/>
        <v>0</v>
      </c>
      <c r="T36" s="135">
        <f t="shared" si="14"/>
        <v>0</v>
      </c>
      <c r="U36" s="2"/>
      <c r="V36" s="2"/>
      <c r="W36" s="2"/>
      <c r="X36" s="2"/>
      <c r="Y36" s="138"/>
      <c r="Z36" s="138"/>
      <c r="AB36" s="138"/>
      <c r="AC36" s="138"/>
      <c r="AD36" s="138"/>
      <c r="AE36" s="138"/>
      <c r="AF36" s="138"/>
      <c r="AG36" s="153"/>
      <c r="AH36" s="153"/>
      <c r="AI36" s="153"/>
    </row>
    <row r="37" ht="18.75" customHeight="1">
      <c r="A37" s="146"/>
      <c r="B37" s="154"/>
      <c r="C37" s="124"/>
      <c r="D37" s="124"/>
      <c r="E37" s="123">
        <f t="shared" si="6"/>
        <v>0</v>
      </c>
      <c r="F37" s="125">
        <f t="shared" si="7"/>
        <v>0</v>
      </c>
      <c r="G37" s="148"/>
      <c r="H37" s="148"/>
      <c r="I37" s="126">
        <f t="shared" si="8"/>
        <v>0</v>
      </c>
      <c r="J37" s="125">
        <f t="shared" si="9"/>
        <v>0</v>
      </c>
      <c r="K37" s="149"/>
      <c r="L37" s="149"/>
      <c r="M37" s="149"/>
      <c r="N37" s="149"/>
      <c r="O37" s="126">
        <f t="shared" si="10"/>
        <v>0</v>
      </c>
      <c r="P37" s="148"/>
      <c r="Q37" s="135">
        <f t="shared" si="11"/>
        <v>0</v>
      </c>
      <c r="R37" s="135">
        <f t="shared" si="12"/>
        <v>0</v>
      </c>
      <c r="S37" s="135">
        <f t="shared" si="13"/>
        <v>0</v>
      </c>
      <c r="T37" s="135">
        <f t="shared" si="14"/>
        <v>0</v>
      </c>
      <c r="U37" s="2"/>
      <c r="V37" s="2"/>
      <c r="W37" s="2"/>
      <c r="X37" s="2"/>
      <c r="Y37" s="138"/>
      <c r="Z37" s="138"/>
      <c r="AB37" s="138"/>
      <c r="AC37" s="138"/>
      <c r="AD37" s="138"/>
      <c r="AE37" s="138"/>
      <c r="AF37" s="138"/>
      <c r="AG37" s="153"/>
      <c r="AH37" s="153"/>
      <c r="AI37" s="153"/>
    </row>
    <row r="38" ht="18.75" customHeight="1">
      <c r="A38" s="146"/>
      <c r="B38" s="152"/>
      <c r="C38" s="124"/>
      <c r="D38" s="124"/>
      <c r="E38" s="123">
        <f t="shared" si="6"/>
        <v>0</v>
      </c>
      <c r="F38" s="125">
        <f t="shared" si="7"/>
        <v>0</v>
      </c>
      <c r="G38" s="148"/>
      <c r="H38" s="148"/>
      <c r="I38" s="126">
        <f t="shared" si="8"/>
        <v>0</v>
      </c>
      <c r="J38" s="125">
        <f t="shared" si="9"/>
        <v>0</v>
      </c>
      <c r="K38" s="149"/>
      <c r="L38" s="149"/>
      <c r="M38" s="149"/>
      <c r="N38" s="149"/>
      <c r="O38" s="126">
        <f t="shared" si="10"/>
        <v>0</v>
      </c>
      <c r="P38" s="148"/>
      <c r="Q38" s="135">
        <f t="shared" si="11"/>
        <v>0</v>
      </c>
      <c r="R38" s="135">
        <f t="shared" si="12"/>
        <v>0</v>
      </c>
      <c r="S38" s="135">
        <f t="shared" si="13"/>
        <v>0</v>
      </c>
      <c r="T38" s="135">
        <f t="shared" si="14"/>
        <v>0</v>
      </c>
      <c r="U38" s="2"/>
      <c r="V38" s="2"/>
      <c r="W38" s="2"/>
      <c r="X38" s="2"/>
      <c r="Y38" s="138"/>
      <c r="Z38" s="138"/>
      <c r="AB38" s="138"/>
      <c r="AC38" s="138"/>
      <c r="AD38" s="138"/>
      <c r="AE38" s="138"/>
      <c r="AF38" s="138"/>
    </row>
    <row r="39" ht="18.75" customHeight="1">
      <c r="A39" s="146"/>
      <c r="B39" s="152"/>
      <c r="C39" s="124"/>
      <c r="D39" s="124"/>
      <c r="E39" s="123">
        <f t="shared" si="6"/>
        <v>0</v>
      </c>
      <c r="F39" s="125">
        <f t="shared" si="7"/>
        <v>0</v>
      </c>
      <c r="G39" s="148"/>
      <c r="H39" s="148"/>
      <c r="I39" s="126">
        <f t="shared" si="8"/>
        <v>0</v>
      </c>
      <c r="J39" s="125">
        <f t="shared" si="9"/>
        <v>0</v>
      </c>
      <c r="K39" s="149"/>
      <c r="L39" s="149"/>
      <c r="M39" s="149"/>
      <c r="N39" s="149"/>
      <c r="O39" s="126">
        <f t="shared" si="10"/>
        <v>0</v>
      </c>
      <c r="P39" s="148"/>
      <c r="Q39" s="135">
        <f t="shared" si="11"/>
        <v>0</v>
      </c>
      <c r="R39" s="135">
        <f t="shared" si="12"/>
        <v>0</v>
      </c>
      <c r="S39" s="135">
        <f t="shared" si="13"/>
        <v>0</v>
      </c>
      <c r="T39" s="135">
        <f t="shared" si="14"/>
        <v>0</v>
      </c>
      <c r="U39" s="2"/>
      <c r="V39" s="2"/>
      <c r="W39" s="2"/>
      <c r="X39" s="2"/>
      <c r="Y39" s="138"/>
      <c r="Z39" s="138"/>
      <c r="AB39" s="138"/>
      <c r="AC39" s="138"/>
      <c r="AD39" s="138"/>
      <c r="AE39" s="138"/>
      <c r="AF39" s="138"/>
    </row>
    <row r="40" ht="18.75" customHeight="1">
      <c r="A40" s="146"/>
      <c r="B40" s="150"/>
      <c r="C40" s="124"/>
      <c r="D40" s="124"/>
      <c r="E40" s="123">
        <f t="shared" si="6"/>
        <v>0</v>
      </c>
      <c r="F40" s="125">
        <f t="shared" si="7"/>
        <v>0</v>
      </c>
      <c r="G40" s="148"/>
      <c r="H40" s="148"/>
      <c r="I40" s="126">
        <f t="shared" si="8"/>
        <v>0</v>
      </c>
      <c r="J40" s="125">
        <f t="shared" si="9"/>
        <v>0</v>
      </c>
      <c r="K40" s="149"/>
      <c r="L40" s="149"/>
      <c r="M40" s="149"/>
      <c r="N40" s="149"/>
      <c r="O40" s="126">
        <f t="shared" si="10"/>
        <v>0</v>
      </c>
      <c r="P40" s="148"/>
      <c r="Q40" s="135">
        <f t="shared" si="11"/>
        <v>0</v>
      </c>
      <c r="R40" s="135">
        <f t="shared" si="12"/>
        <v>0</v>
      </c>
      <c r="S40" s="135">
        <f t="shared" si="13"/>
        <v>0</v>
      </c>
      <c r="T40" s="135">
        <f t="shared" si="14"/>
        <v>0</v>
      </c>
      <c r="U40" s="2"/>
      <c r="V40" s="2"/>
      <c r="W40" s="2"/>
      <c r="X40" s="2"/>
      <c r="Y40" s="138"/>
      <c r="Z40" s="138"/>
      <c r="AB40" s="138"/>
      <c r="AC40" s="138"/>
      <c r="AD40" s="138"/>
      <c r="AE40" s="138"/>
      <c r="AF40" s="138"/>
    </row>
    <row r="41" ht="18.75" customHeight="1">
      <c r="A41" s="146"/>
      <c r="B41" s="152"/>
      <c r="C41" s="124"/>
      <c r="D41" s="124"/>
      <c r="E41" s="123">
        <f t="shared" si="6"/>
        <v>0</v>
      </c>
      <c r="F41" s="125">
        <f t="shared" si="7"/>
        <v>0</v>
      </c>
      <c r="G41" s="148"/>
      <c r="H41" s="148"/>
      <c r="I41" s="126">
        <f t="shared" si="8"/>
        <v>0</v>
      </c>
      <c r="J41" s="125">
        <f t="shared" si="9"/>
        <v>0</v>
      </c>
      <c r="K41" s="149"/>
      <c r="L41" s="149"/>
      <c r="M41" s="149"/>
      <c r="N41" s="149"/>
      <c r="O41" s="126">
        <f t="shared" si="10"/>
        <v>0</v>
      </c>
      <c r="P41" s="148"/>
      <c r="Q41" s="135">
        <f t="shared" si="11"/>
        <v>0</v>
      </c>
      <c r="R41" s="135">
        <f t="shared" si="12"/>
        <v>0</v>
      </c>
      <c r="S41" s="135">
        <f t="shared" si="13"/>
        <v>0</v>
      </c>
      <c r="T41" s="135">
        <f t="shared" si="14"/>
        <v>0</v>
      </c>
      <c r="U41" s="2"/>
      <c r="V41" s="2"/>
      <c r="W41" s="2"/>
      <c r="X41" s="2"/>
      <c r="Y41" s="138"/>
      <c r="Z41" s="138"/>
      <c r="AB41" s="138"/>
      <c r="AC41" s="138"/>
      <c r="AD41" s="138"/>
      <c r="AE41" s="138"/>
      <c r="AF41" s="138"/>
    </row>
    <row r="42" ht="18.75" customHeight="1">
      <c r="A42" s="146"/>
      <c r="B42" s="148"/>
      <c r="C42" s="124"/>
      <c r="D42" s="124"/>
      <c r="E42" s="123">
        <f t="shared" si="6"/>
        <v>0</v>
      </c>
      <c r="F42" s="125">
        <f t="shared" si="7"/>
        <v>0</v>
      </c>
      <c r="G42" s="148"/>
      <c r="H42" s="148"/>
      <c r="I42" s="126">
        <f t="shared" si="8"/>
        <v>0</v>
      </c>
      <c r="J42" s="125">
        <f t="shared" si="9"/>
        <v>0</v>
      </c>
      <c r="K42" s="149"/>
      <c r="L42" s="149"/>
      <c r="M42" s="149"/>
      <c r="N42" s="149"/>
      <c r="O42" s="126">
        <f t="shared" si="10"/>
        <v>0</v>
      </c>
      <c r="P42" s="148"/>
      <c r="Q42" s="135">
        <f t="shared" si="11"/>
        <v>0</v>
      </c>
      <c r="R42" s="135">
        <f t="shared" si="12"/>
        <v>0</v>
      </c>
      <c r="S42" s="135">
        <f t="shared" si="13"/>
        <v>0</v>
      </c>
      <c r="T42" s="135">
        <f t="shared" si="14"/>
        <v>0</v>
      </c>
      <c r="U42" s="2"/>
      <c r="V42" s="2"/>
      <c r="W42" s="2"/>
      <c r="X42" s="2"/>
      <c r="Y42" s="138"/>
      <c r="Z42" s="138"/>
      <c r="AB42" s="138"/>
      <c r="AC42" s="138"/>
      <c r="AD42" s="138"/>
      <c r="AE42" s="138"/>
      <c r="AF42" s="138"/>
    </row>
    <row r="43" ht="18.75" customHeight="1">
      <c r="A43" s="146"/>
      <c r="B43" s="156"/>
      <c r="C43" s="124"/>
      <c r="D43" s="124"/>
      <c r="E43" s="123">
        <f t="shared" si="6"/>
        <v>0</v>
      </c>
      <c r="F43" s="125">
        <f t="shared" si="7"/>
        <v>0</v>
      </c>
      <c r="G43" s="148"/>
      <c r="H43" s="148"/>
      <c r="I43" s="126">
        <f t="shared" si="8"/>
        <v>0</v>
      </c>
      <c r="J43" s="125">
        <f t="shared" si="9"/>
        <v>0</v>
      </c>
      <c r="K43" s="149"/>
      <c r="L43" s="149"/>
      <c r="M43" s="149"/>
      <c r="N43" s="149"/>
      <c r="O43" s="126">
        <f t="shared" si="10"/>
        <v>0</v>
      </c>
      <c r="P43" s="148"/>
      <c r="Q43" s="135">
        <f t="shared" si="11"/>
        <v>0</v>
      </c>
      <c r="R43" s="135">
        <f t="shared" si="12"/>
        <v>0</v>
      </c>
      <c r="S43" s="135">
        <f t="shared" si="13"/>
        <v>0</v>
      </c>
      <c r="T43" s="135">
        <f t="shared" si="14"/>
        <v>0</v>
      </c>
      <c r="U43" s="2"/>
      <c r="V43" s="2"/>
      <c r="W43" s="2"/>
      <c r="X43" s="2"/>
      <c r="Y43" s="138"/>
      <c r="Z43" s="138"/>
      <c r="AB43" s="138"/>
      <c r="AC43" s="138"/>
      <c r="AD43" s="138"/>
      <c r="AE43" s="138"/>
      <c r="AF43" s="138"/>
    </row>
    <row r="44" ht="18.75" customHeight="1">
      <c r="A44" s="146"/>
      <c r="B44" s="157"/>
      <c r="C44" s="124"/>
      <c r="D44" s="124"/>
      <c r="E44" s="123">
        <f t="shared" si="6"/>
        <v>0</v>
      </c>
      <c r="F44" s="125">
        <f t="shared" si="7"/>
        <v>0</v>
      </c>
      <c r="G44" s="148"/>
      <c r="H44" s="148"/>
      <c r="I44" s="126">
        <f t="shared" si="8"/>
        <v>0</v>
      </c>
      <c r="J44" s="125">
        <f t="shared" si="9"/>
        <v>0</v>
      </c>
      <c r="K44" s="149"/>
      <c r="L44" s="149"/>
      <c r="M44" s="149"/>
      <c r="N44" s="149"/>
      <c r="O44" s="126">
        <f t="shared" si="10"/>
        <v>0</v>
      </c>
      <c r="P44" s="148"/>
      <c r="Q44" s="135">
        <f t="shared" si="11"/>
        <v>0</v>
      </c>
      <c r="R44" s="135">
        <f t="shared" si="12"/>
        <v>0</v>
      </c>
      <c r="S44" s="135">
        <f t="shared" si="13"/>
        <v>0</v>
      </c>
      <c r="T44" s="135">
        <f t="shared" si="14"/>
        <v>0</v>
      </c>
      <c r="U44" s="2"/>
      <c r="V44" s="2"/>
      <c r="W44" s="2"/>
      <c r="X44" s="2"/>
      <c r="Y44" s="138"/>
      <c r="Z44" s="138"/>
      <c r="AB44" s="138"/>
      <c r="AC44" s="138"/>
      <c r="AD44" s="138"/>
      <c r="AE44" s="138"/>
      <c r="AF44" s="138"/>
    </row>
    <row r="45" ht="18.75" customHeight="1">
      <c r="A45" s="146"/>
      <c r="B45" s="152"/>
      <c r="C45" s="124"/>
      <c r="D45" s="124"/>
      <c r="E45" s="123">
        <f t="shared" si="6"/>
        <v>0</v>
      </c>
      <c r="F45" s="125">
        <f t="shared" si="7"/>
        <v>0</v>
      </c>
      <c r="G45" s="148"/>
      <c r="H45" s="148"/>
      <c r="I45" s="126">
        <f t="shared" si="8"/>
        <v>0</v>
      </c>
      <c r="J45" s="125">
        <f t="shared" si="9"/>
        <v>0</v>
      </c>
      <c r="K45" s="149"/>
      <c r="L45" s="149"/>
      <c r="M45" s="149"/>
      <c r="N45" s="149"/>
      <c r="O45" s="126">
        <f t="shared" si="10"/>
        <v>0</v>
      </c>
      <c r="P45" s="148"/>
      <c r="Q45" s="135">
        <f t="shared" si="11"/>
        <v>0</v>
      </c>
      <c r="R45" s="135">
        <f t="shared" si="12"/>
        <v>0</v>
      </c>
      <c r="S45" s="135">
        <f t="shared" si="13"/>
        <v>0</v>
      </c>
      <c r="T45" s="135">
        <f t="shared" si="14"/>
        <v>0</v>
      </c>
      <c r="U45" s="2"/>
      <c r="V45" s="2"/>
      <c r="W45" s="2"/>
      <c r="X45" s="2"/>
      <c r="Y45" s="138"/>
      <c r="Z45" s="138"/>
      <c r="AB45" s="138"/>
      <c r="AC45" s="138"/>
      <c r="AD45" s="138"/>
      <c r="AE45" s="138"/>
      <c r="AF45" s="138"/>
    </row>
    <row r="46" ht="18.75" customHeight="1">
      <c r="A46" s="146"/>
      <c r="B46" s="37"/>
      <c r="C46" s="124"/>
      <c r="D46" s="124"/>
      <c r="E46" s="123">
        <f t="shared" si="6"/>
        <v>0</v>
      </c>
      <c r="F46" s="125">
        <f t="shared" si="7"/>
        <v>0</v>
      </c>
      <c r="G46" s="148"/>
      <c r="H46" s="148"/>
      <c r="I46" s="126">
        <f t="shared" si="8"/>
        <v>0</v>
      </c>
      <c r="J46" s="125">
        <f t="shared" si="9"/>
        <v>0</v>
      </c>
      <c r="K46" s="149"/>
      <c r="L46" s="149"/>
      <c r="M46" s="149"/>
      <c r="N46" s="149"/>
      <c r="O46" s="126">
        <f t="shared" si="10"/>
        <v>0</v>
      </c>
      <c r="P46" s="148"/>
      <c r="Q46" s="135">
        <f t="shared" si="11"/>
        <v>0</v>
      </c>
      <c r="R46" s="135">
        <f t="shared" si="12"/>
        <v>0</v>
      </c>
      <c r="S46" s="135">
        <f t="shared" si="13"/>
        <v>0</v>
      </c>
      <c r="T46" s="135">
        <f t="shared" si="14"/>
        <v>0</v>
      </c>
      <c r="U46" s="2"/>
      <c r="V46" s="2"/>
      <c r="W46" s="2"/>
      <c r="X46" s="2"/>
      <c r="Y46" s="138"/>
      <c r="Z46" s="138"/>
      <c r="AB46" s="138"/>
      <c r="AC46" s="138"/>
      <c r="AD46" s="138"/>
      <c r="AE46" s="138"/>
      <c r="AF46" s="138"/>
      <c r="AG46" s="158"/>
      <c r="AH46" s="158"/>
      <c r="AI46" s="158"/>
      <c r="AJ46" s="158"/>
      <c r="AK46" s="158"/>
      <c r="AL46" s="158"/>
    </row>
    <row r="47" ht="18.75" customHeight="1">
      <c r="A47" s="146"/>
      <c r="B47" s="37"/>
      <c r="C47" s="124"/>
      <c r="D47" s="124"/>
      <c r="E47" s="123">
        <f t="shared" si="6"/>
        <v>0</v>
      </c>
      <c r="F47" s="125">
        <f t="shared" si="7"/>
        <v>0</v>
      </c>
      <c r="G47" s="148"/>
      <c r="H47" s="148"/>
      <c r="I47" s="126">
        <f t="shared" si="8"/>
        <v>0</v>
      </c>
      <c r="J47" s="125">
        <f t="shared" si="9"/>
        <v>0</v>
      </c>
      <c r="K47" s="149"/>
      <c r="L47" s="149"/>
      <c r="M47" s="149"/>
      <c r="N47" s="149"/>
      <c r="O47" s="126">
        <f t="shared" si="10"/>
        <v>0</v>
      </c>
      <c r="P47" s="148"/>
      <c r="Q47" s="135">
        <f t="shared" si="11"/>
        <v>0</v>
      </c>
      <c r="R47" s="135">
        <f t="shared" si="12"/>
        <v>0</v>
      </c>
      <c r="S47" s="135">
        <f t="shared" si="13"/>
        <v>0</v>
      </c>
      <c r="T47" s="135">
        <f t="shared" si="14"/>
        <v>0</v>
      </c>
      <c r="U47" s="2"/>
      <c r="V47" s="2"/>
      <c r="W47" s="2"/>
      <c r="X47" s="2"/>
      <c r="Y47" s="138"/>
      <c r="Z47" s="138"/>
      <c r="AB47" s="138"/>
      <c r="AC47" s="138"/>
      <c r="AD47" s="138"/>
      <c r="AE47" s="138"/>
      <c r="AF47" s="138"/>
      <c r="AG47" s="44"/>
      <c r="AH47" s="44"/>
      <c r="AI47" s="44"/>
      <c r="AJ47" s="44"/>
      <c r="AK47" s="49"/>
      <c r="AL47" s="49"/>
    </row>
    <row r="48" ht="18.75" customHeight="1">
      <c r="A48" s="146"/>
      <c r="B48" s="37"/>
      <c r="C48" s="124"/>
      <c r="D48" s="124"/>
      <c r="E48" s="123">
        <f t="shared" si="6"/>
        <v>0</v>
      </c>
      <c r="F48" s="125">
        <f t="shared" si="7"/>
        <v>0</v>
      </c>
      <c r="G48" s="148"/>
      <c r="H48" s="148"/>
      <c r="I48" s="126">
        <f t="shared" si="8"/>
        <v>0</v>
      </c>
      <c r="J48" s="125">
        <f t="shared" si="9"/>
        <v>0</v>
      </c>
      <c r="K48" s="149"/>
      <c r="L48" s="149"/>
      <c r="M48" s="149"/>
      <c r="N48" s="149"/>
      <c r="O48" s="126">
        <f t="shared" si="10"/>
        <v>0</v>
      </c>
      <c r="P48" s="148"/>
      <c r="Q48" s="135">
        <f t="shared" si="11"/>
        <v>0</v>
      </c>
      <c r="R48" s="135">
        <f t="shared" si="12"/>
        <v>0</v>
      </c>
      <c r="S48" s="135">
        <f t="shared" si="13"/>
        <v>0</v>
      </c>
      <c r="T48" s="135">
        <f t="shared" si="14"/>
        <v>0</v>
      </c>
      <c r="U48" s="2"/>
      <c r="V48" s="2"/>
      <c r="W48" s="2"/>
      <c r="X48" s="2"/>
      <c r="Y48" s="138"/>
      <c r="Z48" s="138"/>
      <c r="AB48" s="138"/>
      <c r="AC48" s="138"/>
      <c r="AD48" s="138"/>
      <c r="AE48" s="138"/>
      <c r="AF48" s="138"/>
      <c r="AG48" s="159"/>
      <c r="AH48" s="159"/>
      <c r="AI48" s="159"/>
      <c r="AJ48" s="159"/>
      <c r="AK48" s="159"/>
      <c r="AL48" s="159"/>
    </row>
    <row r="49" ht="18.75" customHeight="1">
      <c r="A49" s="146"/>
      <c r="B49" s="147"/>
      <c r="C49" s="124"/>
      <c r="D49" s="124"/>
      <c r="E49" s="123">
        <f t="shared" si="6"/>
        <v>0</v>
      </c>
      <c r="F49" s="125">
        <f t="shared" si="7"/>
        <v>0</v>
      </c>
      <c r="G49" s="148"/>
      <c r="H49" s="148"/>
      <c r="I49" s="126">
        <f t="shared" si="8"/>
        <v>0</v>
      </c>
      <c r="J49" s="125">
        <f t="shared" si="9"/>
        <v>0</v>
      </c>
      <c r="K49" s="149"/>
      <c r="L49" s="149"/>
      <c r="M49" s="149"/>
      <c r="N49" s="149"/>
      <c r="O49" s="126">
        <f t="shared" si="10"/>
        <v>0</v>
      </c>
      <c r="P49" s="148"/>
      <c r="Q49" s="135">
        <f t="shared" si="11"/>
        <v>0</v>
      </c>
      <c r="R49" s="135">
        <f t="shared" si="12"/>
        <v>0</v>
      </c>
      <c r="S49" s="135">
        <f t="shared" si="13"/>
        <v>0</v>
      </c>
      <c r="T49" s="135">
        <f t="shared" si="14"/>
        <v>0</v>
      </c>
      <c r="U49" s="2"/>
      <c r="V49" s="2"/>
      <c r="W49" s="2"/>
      <c r="X49" s="2"/>
      <c r="Y49" s="138"/>
      <c r="Z49" s="138"/>
      <c r="AB49" s="138"/>
      <c r="AC49" s="138"/>
      <c r="AD49" s="138"/>
      <c r="AE49" s="138"/>
      <c r="AF49" s="138"/>
      <c r="AG49" s="159"/>
      <c r="AH49" s="159"/>
      <c r="AI49" s="159"/>
      <c r="AJ49" s="159"/>
      <c r="AK49" s="159"/>
      <c r="AL49" s="159"/>
    </row>
    <row r="50" ht="18.75" customHeight="1">
      <c r="A50" s="146"/>
      <c r="B50" s="147"/>
      <c r="C50" s="124"/>
      <c r="D50" s="124"/>
      <c r="E50" s="123">
        <f t="shared" si="6"/>
        <v>0</v>
      </c>
      <c r="F50" s="125">
        <f t="shared" si="7"/>
        <v>0</v>
      </c>
      <c r="G50" s="148"/>
      <c r="H50" s="148"/>
      <c r="I50" s="126">
        <f t="shared" si="8"/>
        <v>0</v>
      </c>
      <c r="J50" s="125">
        <f t="shared" si="9"/>
        <v>0</v>
      </c>
      <c r="K50" s="149"/>
      <c r="L50" s="149"/>
      <c r="M50" s="149"/>
      <c r="N50" s="149"/>
      <c r="O50" s="126">
        <f t="shared" si="10"/>
        <v>0</v>
      </c>
      <c r="P50" s="148"/>
      <c r="Q50" s="135">
        <f t="shared" si="11"/>
        <v>0</v>
      </c>
      <c r="R50" s="135">
        <f t="shared" si="12"/>
        <v>0</v>
      </c>
      <c r="S50" s="135">
        <f t="shared" si="13"/>
        <v>0</v>
      </c>
      <c r="T50" s="135">
        <f t="shared" si="14"/>
        <v>0</v>
      </c>
      <c r="U50" s="2"/>
      <c r="V50" s="2"/>
      <c r="W50" s="2"/>
      <c r="X50" s="2"/>
      <c r="Y50" s="138"/>
      <c r="Z50" s="138"/>
      <c r="AB50" s="138"/>
      <c r="AC50" s="138"/>
      <c r="AD50" s="138"/>
      <c r="AE50" s="138"/>
      <c r="AF50" s="138"/>
      <c r="AG50" s="159"/>
      <c r="AH50" s="159"/>
      <c r="AI50" s="159"/>
      <c r="AJ50" s="159"/>
      <c r="AK50" s="159"/>
      <c r="AL50" s="159"/>
    </row>
    <row r="51" ht="18.75" customHeight="1">
      <c r="A51" s="146"/>
      <c r="B51" s="147"/>
      <c r="C51" s="124"/>
      <c r="D51" s="124"/>
      <c r="E51" s="123">
        <f t="shared" si="6"/>
        <v>0</v>
      </c>
      <c r="F51" s="125">
        <f t="shared" si="7"/>
        <v>0</v>
      </c>
      <c r="G51" s="148"/>
      <c r="H51" s="148"/>
      <c r="I51" s="126">
        <f t="shared" si="8"/>
        <v>0</v>
      </c>
      <c r="J51" s="125">
        <f t="shared" si="9"/>
        <v>0</v>
      </c>
      <c r="K51" s="149"/>
      <c r="L51" s="149"/>
      <c r="M51" s="149"/>
      <c r="N51" s="149"/>
      <c r="O51" s="126">
        <f t="shared" si="10"/>
        <v>0</v>
      </c>
      <c r="P51" s="148"/>
      <c r="Q51" s="135">
        <f t="shared" si="11"/>
        <v>0</v>
      </c>
      <c r="R51" s="135">
        <f t="shared" si="12"/>
        <v>0</v>
      </c>
      <c r="S51" s="135">
        <f t="shared" si="13"/>
        <v>0</v>
      </c>
      <c r="T51" s="135">
        <f t="shared" si="14"/>
        <v>0</v>
      </c>
      <c r="U51" s="2"/>
      <c r="V51" s="2"/>
      <c r="W51" s="2"/>
      <c r="X51" s="2"/>
      <c r="Y51" s="138"/>
      <c r="Z51" s="138"/>
      <c r="AB51" s="138"/>
      <c r="AC51" s="138"/>
      <c r="AD51" s="138"/>
      <c r="AE51" s="138"/>
      <c r="AF51" s="138"/>
      <c r="AG51" s="159"/>
      <c r="AH51" s="159"/>
      <c r="AI51" s="159"/>
      <c r="AJ51" s="159"/>
      <c r="AK51" s="159"/>
      <c r="AL51" s="159"/>
    </row>
    <row r="52" ht="18.75" customHeight="1">
      <c r="A52" s="146"/>
      <c r="B52" s="147"/>
      <c r="C52" s="124"/>
      <c r="D52" s="124"/>
      <c r="E52" s="123">
        <f t="shared" si="6"/>
        <v>0</v>
      </c>
      <c r="F52" s="125">
        <f t="shared" si="7"/>
        <v>0</v>
      </c>
      <c r="G52" s="148"/>
      <c r="H52" s="148"/>
      <c r="I52" s="126">
        <f t="shared" si="8"/>
        <v>0</v>
      </c>
      <c r="J52" s="125">
        <f t="shared" si="9"/>
        <v>0</v>
      </c>
      <c r="K52" s="149"/>
      <c r="L52" s="149"/>
      <c r="M52" s="149"/>
      <c r="N52" s="149"/>
      <c r="O52" s="126">
        <f t="shared" si="10"/>
        <v>0</v>
      </c>
      <c r="P52" s="148"/>
      <c r="Q52" s="135">
        <f t="shared" si="11"/>
        <v>0</v>
      </c>
      <c r="R52" s="135">
        <f t="shared" si="12"/>
        <v>0</v>
      </c>
      <c r="S52" s="135">
        <f t="shared" si="13"/>
        <v>0</v>
      </c>
      <c r="T52" s="135">
        <f t="shared" si="14"/>
        <v>0</v>
      </c>
      <c r="U52" s="2"/>
      <c r="V52" s="2"/>
      <c r="W52" s="2"/>
      <c r="X52" s="2"/>
      <c r="Y52" s="138"/>
      <c r="Z52" s="138"/>
      <c r="AB52" s="138"/>
      <c r="AC52" s="138"/>
      <c r="AD52" s="138"/>
      <c r="AE52" s="138"/>
      <c r="AF52" s="138"/>
      <c r="AG52" s="159"/>
      <c r="AH52" s="159"/>
      <c r="AI52" s="159"/>
      <c r="AJ52" s="159"/>
      <c r="AK52" s="159"/>
      <c r="AL52" s="159"/>
    </row>
    <row r="53" ht="18.75" customHeight="1">
      <c r="A53" s="146"/>
      <c r="B53" s="147"/>
      <c r="C53" s="124"/>
      <c r="D53" s="124"/>
      <c r="E53" s="123">
        <f t="shared" si="6"/>
        <v>0</v>
      </c>
      <c r="F53" s="125">
        <f t="shared" si="7"/>
        <v>0</v>
      </c>
      <c r="G53" s="148"/>
      <c r="H53" s="148"/>
      <c r="I53" s="126">
        <f t="shared" si="8"/>
        <v>0</v>
      </c>
      <c r="J53" s="125">
        <f t="shared" si="9"/>
        <v>0</v>
      </c>
      <c r="K53" s="149"/>
      <c r="L53" s="149"/>
      <c r="M53" s="149"/>
      <c r="N53" s="149"/>
      <c r="O53" s="126">
        <f t="shared" si="10"/>
        <v>0</v>
      </c>
      <c r="P53" s="148"/>
      <c r="Q53" s="135">
        <f t="shared" si="11"/>
        <v>0</v>
      </c>
      <c r="R53" s="135">
        <f t="shared" si="12"/>
        <v>0</v>
      </c>
      <c r="S53" s="135">
        <f t="shared" si="13"/>
        <v>0</v>
      </c>
      <c r="T53" s="135">
        <f t="shared" si="14"/>
        <v>0</v>
      </c>
      <c r="U53" s="2"/>
      <c r="V53" s="2"/>
      <c r="W53" s="2"/>
      <c r="X53" s="2"/>
      <c r="Y53" s="138"/>
      <c r="Z53" s="138"/>
      <c r="AB53" s="138"/>
      <c r="AC53" s="138"/>
      <c r="AD53" s="138"/>
      <c r="AE53" s="138"/>
      <c r="AF53" s="138"/>
      <c r="AG53" s="159"/>
      <c r="AH53" s="159"/>
      <c r="AI53" s="159"/>
      <c r="AJ53" s="159"/>
      <c r="AK53" s="159"/>
      <c r="AL53" s="159"/>
    </row>
    <row r="54" ht="18.75" customHeight="1">
      <c r="A54" s="146"/>
      <c r="B54" s="147"/>
      <c r="C54" s="124"/>
      <c r="D54" s="124"/>
      <c r="E54" s="123">
        <f t="shared" si="6"/>
        <v>0</v>
      </c>
      <c r="F54" s="125">
        <f t="shared" si="7"/>
        <v>0</v>
      </c>
      <c r="G54" s="148"/>
      <c r="H54" s="148"/>
      <c r="I54" s="126">
        <f t="shared" si="8"/>
        <v>0</v>
      </c>
      <c r="J54" s="125">
        <f t="shared" si="9"/>
        <v>0</v>
      </c>
      <c r="K54" s="149"/>
      <c r="L54" s="149"/>
      <c r="M54" s="149"/>
      <c r="N54" s="149"/>
      <c r="O54" s="126">
        <f t="shared" si="10"/>
        <v>0</v>
      </c>
      <c r="P54" s="148"/>
      <c r="Q54" s="135">
        <f t="shared" si="11"/>
        <v>0</v>
      </c>
      <c r="R54" s="135">
        <f t="shared" si="12"/>
        <v>0</v>
      </c>
      <c r="S54" s="135">
        <f t="shared" si="13"/>
        <v>0</v>
      </c>
      <c r="T54" s="135">
        <f t="shared" si="14"/>
        <v>0</v>
      </c>
      <c r="U54" s="2"/>
      <c r="V54" s="2"/>
      <c r="W54" s="2"/>
      <c r="X54" s="2"/>
      <c r="Y54" s="138"/>
      <c r="Z54" s="138"/>
      <c r="AB54" s="138"/>
      <c r="AC54" s="138"/>
      <c r="AD54" s="138"/>
      <c r="AE54" s="138"/>
      <c r="AF54" s="138"/>
      <c r="AG54" s="159"/>
      <c r="AH54" s="159"/>
      <c r="AI54" s="159"/>
      <c r="AJ54" s="159"/>
      <c r="AK54" s="159"/>
      <c r="AL54" s="159"/>
    </row>
    <row r="55" ht="18.75" customHeight="1">
      <c r="A55" s="146"/>
      <c r="B55" s="147"/>
      <c r="C55" s="124"/>
      <c r="D55" s="124"/>
      <c r="E55" s="123">
        <f t="shared" si="6"/>
        <v>0</v>
      </c>
      <c r="F55" s="125">
        <f t="shared" si="7"/>
        <v>0</v>
      </c>
      <c r="G55" s="148"/>
      <c r="H55" s="148"/>
      <c r="I55" s="126">
        <f t="shared" si="8"/>
        <v>0</v>
      </c>
      <c r="J55" s="125">
        <f t="shared" si="9"/>
        <v>0</v>
      </c>
      <c r="K55" s="149"/>
      <c r="L55" s="149"/>
      <c r="M55" s="149"/>
      <c r="N55" s="149"/>
      <c r="O55" s="126">
        <f t="shared" si="10"/>
        <v>0</v>
      </c>
      <c r="P55" s="148"/>
      <c r="Q55" s="135">
        <f t="shared" si="11"/>
        <v>0</v>
      </c>
      <c r="R55" s="135">
        <f t="shared" si="12"/>
        <v>0</v>
      </c>
      <c r="S55" s="135">
        <f t="shared" si="13"/>
        <v>0</v>
      </c>
      <c r="T55" s="135">
        <f t="shared" si="14"/>
        <v>0</v>
      </c>
      <c r="U55" s="2"/>
      <c r="V55" s="2"/>
      <c r="W55" s="2"/>
      <c r="X55" s="2"/>
      <c r="Y55" s="138"/>
      <c r="Z55" s="138"/>
      <c r="AB55" s="138"/>
      <c r="AC55" s="138"/>
      <c r="AD55" s="138"/>
      <c r="AE55" s="138"/>
      <c r="AF55" s="138"/>
      <c r="AG55" s="159"/>
      <c r="AH55" s="159"/>
      <c r="AI55" s="159"/>
      <c r="AJ55" s="159"/>
      <c r="AK55" s="159"/>
      <c r="AL55" s="159"/>
    </row>
    <row r="56" ht="18.75" customHeight="1">
      <c r="A56" s="146"/>
      <c r="B56" s="147"/>
      <c r="C56" s="124"/>
      <c r="D56" s="124"/>
      <c r="E56" s="123">
        <f t="shared" si="6"/>
        <v>0</v>
      </c>
      <c r="F56" s="125">
        <f t="shared" si="7"/>
        <v>0</v>
      </c>
      <c r="G56" s="148"/>
      <c r="H56" s="148"/>
      <c r="I56" s="126">
        <f t="shared" si="8"/>
        <v>0</v>
      </c>
      <c r="J56" s="125">
        <f t="shared" si="9"/>
        <v>0</v>
      </c>
      <c r="K56" s="149"/>
      <c r="L56" s="149"/>
      <c r="M56" s="149"/>
      <c r="N56" s="149"/>
      <c r="O56" s="126">
        <f t="shared" si="10"/>
        <v>0</v>
      </c>
      <c r="P56" s="148"/>
      <c r="Q56" s="135">
        <f t="shared" si="11"/>
        <v>0</v>
      </c>
      <c r="R56" s="135">
        <f t="shared" si="12"/>
        <v>0</v>
      </c>
      <c r="S56" s="135">
        <f t="shared" si="13"/>
        <v>0</v>
      </c>
      <c r="T56" s="135">
        <f t="shared" si="14"/>
        <v>0</v>
      </c>
      <c r="U56" s="2"/>
      <c r="V56" s="2"/>
      <c r="W56" s="2"/>
      <c r="X56" s="2"/>
      <c r="Y56" s="138"/>
      <c r="Z56" s="138"/>
      <c r="AB56" s="138"/>
      <c r="AC56" s="138"/>
      <c r="AD56" s="138"/>
      <c r="AE56" s="138"/>
      <c r="AF56" s="138"/>
      <c r="AG56" s="159"/>
      <c r="AH56" s="159"/>
      <c r="AI56" s="159"/>
      <c r="AJ56" s="159"/>
      <c r="AK56" s="159"/>
      <c r="AL56" s="159"/>
    </row>
    <row r="57" ht="18.75" customHeight="1">
      <c r="A57" s="161"/>
      <c r="B57" s="147"/>
      <c r="C57" s="124"/>
      <c r="D57" s="124"/>
      <c r="E57" s="123">
        <f t="shared" si="6"/>
        <v>0</v>
      </c>
      <c r="F57" s="125">
        <f t="shared" si="7"/>
        <v>0</v>
      </c>
      <c r="G57" s="148"/>
      <c r="H57" s="148"/>
      <c r="I57" s="126">
        <f t="shared" si="8"/>
        <v>0</v>
      </c>
      <c r="J57" s="125">
        <f t="shared" si="9"/>
        <v>0</v>
      </c>
      <c r="K57" s="149"/>
      <c r="L57" s="149"/>
      <c r="M57" s="149"/>
      <c r="N57" s="149"/>
      <c r="O57" s="126">
        <f t="shared" si="10"/>
        <v>0</v>
      </c>
      <c r="P57" s="148"/>
      <c r="Q57" s="135">
        <f t="shared" si="11"/>
        <v>0</v>
      </c>
      <c r="R57" s="135">
        <f t="shared" si="12"/>
        <v>0</v>
      </c>
      <c r="S57" s="135">
        <f t="shared" si="13"/>
        <v>0</v>
      </c>
      <c r="T57" s="135">
        <f t="shared" si="14"/>
        <v>0</v>
      </c>
      <c r="U57" s="2"/>
      <c r="V57" s="2"/>
      <c r="W57" s="2"/>
      <c r="X57" s="2"/>
      <c r="Y57" s="138"/>
      <c r="Z57" s="138"/>
      <c r="AB57" s="138"/>
      <c r="AC57" s="138"/>
      <c r="AD57" s="138"/>
      <c r="AE57" s="138"/>
      <c r="AF57" s="138"/>
      <c r="AG57" s="159"/>
      <c r="AH57" s="159"/>
      <c r="AI57" s="159"/>
      <c r="AJ57" s="159"/>
      <c r="AK57" s="159"/>
      <c r="AL57" s="159"/>
    </row>
    <row r="58" ht="18.75" customHeight="1">
      <c r="A58" s="161"/>
      <c r="B58" s="147"/>
      <c r="C58" s="124"/>
      <c r="D58" s="124"/>
      <c r="E58" s="123">
        <f t="shared" si="6"/>
        <v>0</v>
      </c>
      <c r="F58" s="125">
        <f t="shared" si="7"/>
        <v>0</v>
      </c>
      <c r="G58" s="148"/>
      <c r="H58" s="148"/>
      <c r="I58" s="126">
        <f t="shared" si="8"/>
        <v>0</v>
      </c>
      <c r="J58" s="125">
        <f t="shared" si="9"/>
        <v>0</v>
      </c>
      <c r="K58" s="149"/>
      <c r="L58" s="149"/>
      <c r="M58" s="149"/>
      <c r="N58" s="149"/>
      <c r="O58" s="126">
        <f t="shared" si="10"/>
        <v>0</v>
      </c>
      <c r="P58" s="148"/>
      <c r="Q58" s="135">
        <f t="shared" si="11"/>
        <v>0</v>
      </c>
      <c r="R58" s="135">
        <f t="shared" si="12"/>
        <v>0</v>
      </c>
      <c r="S58" s="135">
        <f t="shared" si="13"/>
        <v>0</v>
      </c>
      <c r="T58" s="135">
        <f t="shared" si="14"/>
        <v>0</v>
      </c>
      <c r="U58" s="2"/>
      <c r="V58" s="2"/>
      <c r="W58" s="2"/>
      <c r="X58" s="2"/>
      <c r="Y58" s="138"/>
      <c r="Z58" s="138"/>
      <c r="AB58" s="138"/>
      <c r="AC58" s="138"/>
      <c r="AD58" s="138"/>
      <c r="AE58" s="138"/>
      <c r="AF58" s="138"/>
      <c r="AG58" s="159"/>
      <c r="AH58" s="159"/>
      <c r="AI58" s="159"/>
      <c r="AJ58" s="159"/>
      <c r="AK58" s="159"/>
      <c r="AL58" s="159"/>
    </row>
    <row r="59" ht="18.75" customHeight="1">
      <c r="A59" s="162"/>
      <c r="B59" s="147"/>
      <c r="C59" s="124"/>
      <c r="D59" s="124"/>
      <c r="E59" s="123">
        <f t="shared" si="6"/>
        <v>0</v>
      </c>
      <c r="F59" s="125">
        <f t="shared" si="7"/>
        <v>0</v>
      </c>
      <c r="G59" s="148"/>
      <c r="H59" s="148"/>
      <c r="I59" s="126">
        <f t="shared" si="8"/>
        <v>0</v>
      </c>
      <c r="J59" s="125">
        <f t="shared" si="9"/>
        <v>0</v>
      </c>
      <c r="K59" s="149"/>
      <c r="L59" s="149"/>
      <c r="M59" s="149"/>
      <c r="N59" s="149"/>
      <c r="O59" s="126">
        <f t="shared" si="10"/>
        <v>0</v>
      </c>
      <c r="P59" s="148"/>
      <c r="Q59" s="135">
        <f t="shared" si="11"/>
        <v>0</v>
      </c>
      <c r="R59" s="135">
        <f t="shared" si="12"/>
        <v>0</v>
      </c>
      <c r="S59" s="135">
        <f t="shared" si="13"/>
        <v>0</v>
      </c>
      <c r="T59" s="135">
        <f t="shared" si="14"/>
        <v>0</v>
      </c>
      <c r="U59" s="2"/>
      <c r="V59" s="2"/>
      <c r="W59" s="2"/>
      <c r="X59" s="2"/>
      <c r="Y59" s="138"/>
      <c r="Z59" s="138"/>
      <c r="AB59" s="138"/>
      <c r="AC59" s="138"/>
      <c r="AD59" s="138"/>
      <c r="AE59" s="138"/>
      <c r="AF59" s="138"/>
      <c r="AG59" s="159"/>
      <c r="AH59" s="159"/>
      <c r="AI59" s="159"/>
      <c r="AJ59" s="159"/>
      <c r="AK59" s="159"/>
      <c r="AL59" s="159"/>
    </row>
    <row r="60" ht="18.75" customHeight="1">
      <c r="A60" s="161"/>
      <c r="B60" s="147"/>
      <c r="C60" s="124"/>
      <c r="D60" s="124"/>
      <c r="E60" s="123">
        <f t="shared" si="6"/>
        <v>0</v>
      </c>
      <c r="F60" s="125">
        <f t="shared" si="7"/>
        <v>0</v>
      </c>
      <c r="G60" s="148"/>
      <c r="H60" s="148"/>
      <c r="I60" s="126">
        <f t="shared" si="8"/>
        <v>0</v>
      </c>
      <c r="J60" s="125">
        <f t="shared" si="9"/>
        <v>0</v>
      </c>
      <c r="K60" s="149"/>
      <c r="L60" s="149"/>
      <c r="M60" s="149"/>
      <c r="N60" s="149"/>
      <c r="O60" s="126">
        <f t="shared" si="10"/>
        <v>0</v>
      </c>
      <c r="P60" s="148"/>
      <c r="Q60" s="135">
        <f t="shared" si="11"/>
        <v>0</v>
      </c>
      <c r="R60" s="135">
        <f t="shared" si="12"/>
        <v>0</v>
      </c>
      <c r="S60" s="135">
        <f t="shared" si="13"/>
        <v>0</v>
      </c>
      <c r="T60" s="135">
        <f t="shared" si="14"/>
        <v>0</v>
      </c>
      <c r="U60" s="2"/>
      <c r="V60" s="2"/>
      <c r="W60" s="2"/>
      <c r="X60" s="2"/>
      <c r="Y60" s="138"/>
      <c r="Z60" s="138"/>
      <c r="AB60" s="138"/>
      <c r="AC60" s="138"/>
      <c r="AD60" s="138"/>
      <c r="AE60" s="138"/>
      <c r="AF60" s="138"/>
      <c r="AG60" s="159"/>
      <c r="AH60" s="159"/>
      <c r="AI60" s="159"/>
      <c r="AJ60" s="159"/>
      <c r="AK60" s="159"/>
      <c r="AL60" s="159"/>
    </row>
    <row r="61" ht="18.75" customHeight="1">
      <c r="A61" s="146"/>
      <c r="B61" s="147"/>
      <c r="C61" s="124"/>
      <c r="D61" s="124"/>
      <c r="E61" s="123">
        <f t="shared" si="6"/>
        <v>0</v>
      </c>
      <c r="F61" s="125">
        <f t="shared" si="7"/>
        <v>0</v>
      </c>
      <c r="G61" s="148"/>
      <c r="H61" s="148"/>
      <c r="I61" s="126">
        <f t="shared" si="8"/>
        <v>0</v>
      </c>
      <c r="J61" s="125">
        <f t="shared" si="9"/>
        <v>0</v>
      </c>
      <c r="K61" s="149"/>
      <c r="L61" s="149"/>
      <c r="M61" s="149"/>
      <c r="N61" s="149"/>
      <c r="O61" s="126">
        <f t="shared" si="10"/>
        <v>0</v>
      </c>
      <c r="P61" s="148"/>
      <c r="Q61" s="135">
        <f t="shared" si="11"/>
        <v>0</v>
      </c>
      <c r="R61" s="135">
        <f t="shared" si="12"/>
        <v>0</v>
      </c>
      <c r="S61" s="135">
        <f t="shared" si="13"/>
        <v>0</v>
      </c>
      <c r="T61" s="135">
        <f t="shared" si="14"/>
        <v>0</v>
      </c>
      <c r="U61" s="2"/>
      <c r="V61" s="2"/>
      <c r="W61" s="2"/>
      <c r="X61" s="2"/>
      <c r="Y61" s="138"/>
      <c r="Z61" s="138"/>
      <c r="AB61" s="138"/>
      <c r="AC61" s="138"/>
      <c r="AD61" s="138"/>
      <c r="AE61" s="138"/>
      <c r="AF61" s="138"/>
      <c r="AG61" s="159"/>
      <c r="AH61" s="159"/>
      <c r="AI61" s="159"/>
      <c r="AJ61" s="159"/>
      <c r="AK61" s="159"/>
      <c r="AL61" s="159"/>
    </row>
    <row r="62" ht="18.75" customHeight="1">
      <c r="A62" s="146"/>
      <c r="B62" s="147"/>
      <c r="C62" s="124"/>
      <c r="D62" s="124"/>
      <c r="E62" s="123">
        <f t="shared" si="6"/>
        <v>0</v>
      </c>
      <c r="F62" s="125">
        <f t="shared" si="7"/>
        <v>0</v>
      </c>
      <c r="G62" s="148"/>
      <c r="H62" s="148"/>
      <c r="I62" s="126">
        <f t="shared" si="8"/>
        <v>0</v>
      </c>
      <c r="J62" s="125">
        <f t="shared" si="9"/>
        <v>0</v>
      </c>
      <c r="K62" s="149"/>
      <c r="L62" s="149"/>
      <c r="M62" s="149"/>
      <c r="N62" s="149"/>
      <c r="O62" s="126">
        <f t="shared" si="10"/>
        <v>0</v>
      </c>
      <c r="P62" s="148"/>
      <c r="Q62" s="135">
        <f t="shared" si="11"/>
        <v>0</v>
      </c>
      <c r="R62" s="135">
        <f t="shared" si="12"/>
        <v>0</v>
      </c>
      <c r="S62" s="135">
        <f t="shared" si="13"/>
        <v>0</v>
      </c>
      <c r="T62" s="135">
        <f t="shared" si="14"/>
        <v>0</v>
      </c>
      <c r="U62" s="2"/>
      <c r="V62" s="2"/>
      <c r="W62" s="2"/>
      <c r="X62" s="2"/>
      <c r="Y62" s="138"/>
      <c r="Z62" s="138"/>
      <c r="AB62" s="138"/>
      <c r="AC62" s="138"/>
      <c r="AD62" s="138"/>
      <c r="AE62" s="138"/>
      <c r="AF62" s="138"/>
      <c r="AG62" s="159"/>
      <c r="AH62" s="159"/>
      <c r="AI62" s="159"/>
      <c r="AJ62" s="159"/>
      <c r="AK62" s="159"/>
      <c r="AL62" s="159"/>
    </row>
    <row r="63" ht="18.75" customHeight="1">
      <c r="A63" s="146"/>
      <c r="B63" s="147"/>
      <c r="C63" s="124"/>
      <c r="D63" s="124"/>
      <c r="E63" s="123">
        <f t="shared" si="6"/>
        <v>0</v>
      </c>
      <c r="F63" s="125">
        <f t="shared" si="7"/>
        <v>0</v>
      </c>
      <c r="G63" s="148"/>
      <c r="H63" s="148"/>
      <c r="I63" s="126">
        <f t="shared" si="8"/>
        <v>0</v>
      </c>
      <c r="J63" s="125">
        <f t="shared" si="9"/>
        <v>0</v>
      </c>
      <c r="K63" s="149"/>
      <c r="L63" s="149"/>
      <c r="M63" s="149"/>
      <c r="N63" s="149"/>
      <c r="O63" s="126">
        <f t="shared" si="10"/>
        <v>0</v>
      </c>
      <c r="P63" s="148"/>
      <c r="Q63" s="135">
        <f t="shared" si="11"/>
        <v>0</v>
      </c>
      <c r="R63" s="135">
        <f t="shared" si="12"/>
        <v>0</v>
      </c>
      <c r="S63" s="135">
        <f t="shared" si="13"/>
        <v>0</v>
      </c>
      <c r="T63" s="135">
        <f t="shared" si="14"/>
        <v>0</v>
      </c>
      <c r="U63" s="2"/>
      <c r="V63" s="2"/>
      <c r="W63" s="2"/>
      <c r="X63" s="2"/>
      <c r="Y63" s="138"/>
      <c r="Z63" s="138"/>
      <c r="AB63" s="138"/>
      <c r="AC63" s="138"/>
      <c r="AD63" s="138"/>
      <c r="AE63" s="138"/>
      <c r="AF63" s="138"/>
      <c r="AG63" s="159"/>
      <c r="AH63" s="159"/>
      <c r="AI63" s="159"/>
      <c r="AJ63" s="159"/>
      <c r="AK63" s="159"/>
      <c r="AL63" s="159"/>
    </row>
    <row r="64" ht="18.75" customHeight="1">
      <c r="A64" s="146"/>
      <c r="B64" s="147"/>
      <c r="C64" s="124"/>
      <c r="D64" s="124"/>
      <c r="E64" s="123">
        <f t="shared" si="6"/>
        <v>0</v>
      </c>
      <c r="F64" s="125">
        <f t="shared" si="7"/>
        <v>0</v>
      </c>
      <c r="G64" s="148"/>
      <c r="H64" s="148"/>
      <c r="I64" s="126">
        <f t="shared" si="8"/>
        <v>0</v>
      </c>
      <c r="J64" s="125">
        <f t="shared" si="9"/>
        <v>0</v>
      </c>
      <c r="K64" s="149"/>
      <c r="L64" s="149"/>
      <c r="M64" s="149"/>
      <c r="N64" s="149"/>
      <c r="O64" s="126">
        <f t="shared" si="10"/>
        <v>0</v>
      </c>
      <c r="P64" s="148"/>
      <c r="Q64" s="135">
        <f t="shared" si="11"/>
        <v>0</v>
      </c>
      <c r="R64" s="135">
        <f t="shared" si="12"/>
        <v>0</v>
      </c>
      <c r="S64" s="135">
        <f t="shared" si="13"/>
        <v>0</v>
      </c>
      <c r="T64" s="135">
        <f t="shared" si="14"/>
        <v>0</v>
      </c>
      <c r="U64" s="2"/>
      <c r="V64" s="2"/>
      <c r="W64" s="2"/>
      <c r="X64" s="2"/>
      <c r="Y64" s="138"/>
      <c r="Z64" s="138"/>
      <c r="AB64" s="138"/>
      <c r="AC64" s="138"/>
      <c r="AD64" s="138"/>
      <c r="AE64" s="138"/>
      <c r="AF64" s="138"/>
      <c r="AG64" s="159"/>
      <c r="AH64" s="159"/>
      <c r="AI64" s="159"/>
      <c r="AJ64" s="159"/>
      <c r="AK64" s="159"/>
      <c r="AL64" s="159"/>
    </row>
    <row r="65" ht="18.75" customHeight="1">
      <c r="A65" s="146"/>
      <c r="B65" s="147"/>
      <c r="C65" s="124"/>
      <c r="D65" s="124"/>
      <c r="E65" s="123">
        <f t="shared" si="6"/>
        <v>0</v>
      </c>
      <c r="F65" s="125">
        <f t="shared" si="7"/>
        <v>0</v>
      </c>
      <c r="G65" s="148"/>
      <c r="H65" s="148"/>
      <c r="I65" s="126">
        <f t="shared" si="8"/>
        <v>0</v>
      </c>
      <c r="J65" s="125">
        <f t="shared" si="9"/>
        <v>0</v>
      </c>
      <c r="K65" s="149"/>
      <c r="L65" s="149"/>
      <c r="M65" s="149"/>
      <c r="N65" s="149"/>
      <c r="O65" s="126">
        <f t="shared" si="10"/>
        <v>0</v>
      </c>
      <c r="P65" s="148"/>
      <c r="Q65" s="135">
        <f t="shared" si="11"/>
        <v>0</v>
      </c>
      <c r="R65" s="135">
        <f t="shared" si="12"/>
        <v>0</v>
      </c>
      <c r="S65" s="135">
        <f t="shared" si="13"/>
        <v>0</v>
      </c>
      <c r="T65" s="135">
        <f t="shared" si="14"/>
        <v>0</v>
      </c>
      <c r="U65" s="2"/>
      <c r="V65" s="2"/>
      <c r="W65" s="2"/>
      <c r="X65" s="2"/>
      <c r="Y65" s="138"/>
      <c r="Z65" s="138"/>
      <c r="AB65" s="138"/>
      <c r="AC65" s="138"/>
      <c r="AD65" s="138"/>
      <c r="AE65" s="138"/>
      <c r="AF65" s="138"/>
      <c r="AG65" s="159"/>
      <c r="AH65" s="159"/>
      <c r="AI65" s="159"/>
      <c r="AJ65" s="159"/>
      <c r="AK65" s="159"/>
      <c r="AL65" s="159"/>
    </row>
    <row r="66" ht="18.75" customHeight="1">
      <c r="A66" s="146"/>
      <c r="B66" s="147"/>
      <c r="C66" s="124"/>
      <c r="D66" s="124"/>
      <c r="E66" s="123">
        <f t="shared" si="6"/>
        <v>0</v>
      </c>
      <c r="F66" s="125">
        <f t="shared" si="7"/>
        <v>0</v>
      </c>
      <c r="G66" s="148"/>
      <c r="H66" s="148"/>
      <c r="I66" s="126">
        <f t="shared" si="8"/>
        <v>0</v>
      </c>
      <c r="J66" s="125">
        <f t="shared" si="9"/>
        <v>0</v>
      </c>
      <c r="K66" s="149"/>
      <c r="L66" s="149"/>
      <c r="M66" s="149"/>
      <c r="N66" s="149"/>
      <c r="O66" s="126">
        <f t="shared" si="10"/>
        <v>0</v>
      </c>
      <c r="P66" s="148"/>
      <c r="Q66" s="135">
        <f t="shared" si="11"/>
        <v>0</v>
      </c>
      <c r="R66" s="135">
        <f t="shared" si="12"/>
        <v>0</v>
      </c>
      <c r="S66" s="135">
        <f t="shared" si="13"/>
        <v>0</v>
      </c>
      <c r="T66" s="135">
        <f t="shared" si="14"/>
        <v>0</v>
      </c>
      <c r="U66" s="2"/>
      <c r="V66" s="2"/>
      <c r="W66" s="2"/>
      <c r="X66" s="2"/>
      <c r="Y66" s="138"/>
      <c r="Z66" s="138"/>
      <c r="AB66" s="138"/>
      <c r="AC66" s="138"/>
      <c r="AD66" s="138"/>
      <c r="AE66" s="138"/>
      <c r="AF66" s="138"/>
      <c r="AG66" s="159"/>
      <c r="AH66" s="159"/>
      <c r="AI66" s="159"/>
      <c r="AJ66" s="159"/>
      <c r="AK66" s="159"/>
      <c r="AL66" s="159"/>
    </row>
    <row r="67" ht="18.75" customHeight="1">
      <c r="A67" s="146"/>
      <c r="B67" s="147"/>
      <c r="C67" s="124"/>
      <c r="D67" s="124"/>
      <c r="E67" s="123">
        <f t="shared" si="6"/>
        <v>0</v>
      </c>
      <c r="F67" s="125">
        <f t="shared" si="7"/>
        <v>0</v>
      </c>
      <c r="G67" s="148"/>
      <c r="H67" s="148"/>
      <c r="I67" s="126">
        <f t="shared" si="8"/>
        <v>0</v>
      </c>
      <c r="J67" s="125">
        <f t="shared" si="9"/>
        <v>0</v>
      </c>
      <c r="K67" s="149"/>
      <c r="L67" s="149"/>
      <c r="M67" s="149"/>
      <c r="N67" s="149"/>
      <c r="O67" s="126">
        <f t="shared" si="10"/>
        <v>0</v>
      </c>
      <c r="P67" s="148"/>
      <c r="Q67" s="135">
        <f t="shared" si="11"/>
        <v>0</v>
      </c>
      <c r="R67" s="135">
        <f t="shared" si="12"/>
        <v>0</v>
      </c>
      <c r="S67" s="135">
        <f t="shared" si="13"/>
        <v>0</v>
      </c>
      <c r="T67" s="135">
        <f t="shared" si="14"/>
        <v>0</v>
      </c>
      <c r="U67" s="2"/>
      <c r="V67" s="2"/>
      <c r="W67" s="2"/>
      <c r="X67" s="2"/>
      <c r="Y67" s="138"/>
      <c r="Z67" s="138"/>
      <c r="AB67" s="138"/>
      <c r="AC67" s="138"/>
      <c r="AD67" s="138"/>
      <c r="AE67" s="138"/>
      <c r="AF67" s="138"/>
      <c r="AG67" s="159"/>
      <c r="AH67" s="159"/>
      <c r="AI67" s="159"/>
      <c r="AJ67" s="159"/>
      <c r="AK67" s="159"/>
      <c r="AL67" s="159"/>
    </row>
    <row r="68" ht="18.75" customHeight="1">
      <c r="A68" s="146"/>
      <c r="B68" s="147"/>
      <c r="C68" s="124"/>
      <c r="D68" s="124"/>
      <c r="E68" s="123">
        <f t="shared" si="6"/>
        <v>0</v>
      </c>
      <c r="F68" s="125">
        <f t="shared" si="7"/>
        <v>0</v>
      </c>
      <c r="G68" s="148"/>
      <c r="H68" s="148"/>
      <c r="I68" s="126">
        <f t="shared" si="8"/>
        <v>0</v>
      </c>
      <c r="J68" s="125">
        <f t="shared" si="9"/>
        <v>0</v>
      </c>
      <c r="K68" s="149"/>
      <c r="L68" s="149"/>
      <c r="M68" s="149"/>
      <c r="N68" s="149"/>
      <c r="O68" s="126">
        <f t="shared" si="10"/>
        <v>0</v>
      </c>
      <c r="P68" s="148"/>
      <c r="Q68" s="135">
        <f t="shared" si="11"/>
        <v>0</v>
      </c>
      <c r="R68" s="135">
        <f t="shared" si="12"/>
        <v>0</v>
      </c>
      <c r="S68" s="135">
        <f t="shared" si="13"/>
        <v>0</v>
      </c>
      <c r="T68" s="135">
        <f t="shared" si="14"/>
        <v>0</v>
      </c>
      <c r="U68" s="2"/>
      <c r="V68" s="2"/>
      <c r="W68" s="2"/>
      <c r="X68" s="2"/>
      <c r="Y68" s="138"/>
      <c r="Z68" s="138"/>
      <c r="AB68" s="138"/>
      <c r="AC68" s="138"/>
      <c r="AD68" s="138"/>
      <c r="AE68" s="138"/>
      <c r="AF68" s="138"/>
      <c r="AG68" s="159"/>
      <c r="AH68" s="159"/>
      <c r="AI68" s="159"/>
      <c r="AJ68" s="159"/>
      <c r="AK68" s="159"/>
      <c r="AL68" s="159"/>
    </row>
    <row r="69" ht="18.75" customHeight="1">
      <c r="A69" s="146"/>
      <c r="B69" s="147"/>
      <c r="C69" s="124"/>
      <c r="D69" s="124"/>
      <c r="E69" s="123">
        <f t="shared" si="6"/>
        <v>0</v>
      </c>
      <c r="F69" s="125">
        <f t="shared" si="7"/>
        <v>0</v>
      </c>
      <c r="G69" s="148"/>
      <c r="H69" s="148"/>
      <c r="I69" s="126">
        <f t="shared" si="8"/>
        <v>0</v>
      </c>
      <c r="J69" s="125">
        <f t="shared" si="9"/>
        <v>0</v>
      </c>
      <c r="K69" s="149"/>
      <c r="L69" s="149"/>
      <c r="M69" s="149"/>
      <c r="N69" s="149"/>
      <c r="O69" s="126">
        <f t="shared" si="10"/>
        <v>0</v>
      </c>
      <c r="P69" s="148"/>
      <c r="Q69" s="135">
        <f t="shared" si="11"/>
        <v>0</v>
      </c>
      <c r="R69" s="135">
        <f t="shared" si="12"/>
        <v>0</v>
      </c>
      <c r="S69" s="135">
        <f t="shared" si="13"/>
        <v>0</v>
      </c>
      <c r="T69" s="135">
        <f t="shared" si="14"/>
        <v>0</v>
      </c>
      <c r="U69" s="2"/>
      <c r="V69" s="2"/>
      <c r="W69" s="2"/>
      <c r="X69" s="2"/>
      <c r="Y69" s="138"/>
      <c r="Z69" s="138"/>
      <c r="AB69" s="138"/>
      <c r="AC69" s="138"/>
      <c r="AD69" s="138"/>
      <c r="AE69" s="138"/>
      <c r="AF69" s="138"/>
      <c r="AG69" s="159"/>
      <c r="AH69" s="159"/>
      <c r="AI69" s="159"/>
      <c r="AJ69" s="159"/>
      <c r="AK69" s="159"/>
      <c r="AL69" s="159"/>
    </row>
    <row r="70" ht="18.75" customHeight="1">
      <c r="A70" s="146"/>
      <c r="B70" s="147"/>
      <c r="C70" s="124"/>
      <c r="D70" s="124"/>
      <c r="E70" s="123">
        <f t="shared" si="6"/>
        <v>0</v>
      </c>
      <c r="F70" s="125">
        <f t="shared" si="7"/>
        <v>0</v>
      </c>
      <c r="G70" s="148"/>
      <c r="H70" s="148"/>
      <c r="I70" s="126">
        <f t="shared" si="8"/>
        <v>0</v>
      </c>
      <c r="J70" s="125">
        <f t="shared" si="9"/>
        <v>0</v>
      </c>
      <c r="K70" s="149"/>
      <c r="L70" s="149"/>
      <c r="M70" s="149"/>
      <c r="N70" s="149"/>
      <c r="O70" s="126">
        <f t="shared" si="10"/>
        <v>0</v>
      </c>
      <c r="P70" s="148"/>
      <c r="Q70" s="135">
        <f t="shared" si="11"/>
        <v>0</v>
      </c>
      <c r="R70" s="135">
        <f t="shared" si="12"/>
        <v>0</v>
      </c>
      <c r="S70" s="135">
        <f t="shared" si="13"/>
        <v>0</v>
      </c>
      <c r="T70" s="135">
        <f t="shared" si="14"/>
        <v>0</v>
      </c>
      <c r="U70" s="2"/>
      <c r="V70" s="2"/>
      <c r="W70" s="2"/>
      <c r="X70" s="2"/>
      <c r="Y70" s="138"/>
      <c r="Z70" s="138"/>
      <c r="AB70" s="138"/>
      <c r="AC70" s="138"/>
      <c r="AD70" s="138"/>
      <c r="AE70" s="138"/>
      <c r="AF70" s="138"/>
      <c r="AG70" s="159"/>
      <c r="AH70" s="159"/>
      <c r="AI70" s="159"/>
      <c r="AJ70" s="159"/>
      <c r="AK70" s="159"/>
      <c r="AL70" s="159"/>
    </row>
    <row r="71" ht="18.75" customHeight="1">
      <c r="A71" s="146"/>
      <c r="B71" s="147"/>
      <c r="C71" s="124"/>
      <c r="D71" s="124"/>
      <c r="E71" s="123">
        <f t="shared" si="6"/>
        <v>0</v>
      </c>
      <c r="F71" s="125">
        <f t="shared" si="7"/>
        <v>0</v>
      </c>
      <c r="G71" s="148"/>
      <c r="H71" s="148"/>
      <c r="I71" s="126">
        <f t="shared" si="8"/>
        <v>0</v>
      </c>
      <c r="J71" s="125">
        <f t="shared" si="9"/>
        <v>0</v>
      </c>
      <c r="K71" s="149"/>
      <c r="L71" s="149"/>
      <c r="M71" s="149"/>
      <c r="N71" s="149"/>
      <c r="O71" s="126">
        <f t="shared" si="10"/>
        <v>0</v>
      </c>
      <c r="P71" s="148"/>
      <c r="Q71" s="135">
        <f t="shared" si="11"/>
        <v>0</v>
      </c>
      <c r="R71" s="135">
        <f t="shared" si="12"/>
        <v>0</v>
      </c>
      <c r="S71" s="135">
        <f t="shared" si="13"/>
        <v>0</v>
      </c>
      <c r="T71" s="135">
        <f t="shared" si="14"/>
        <v>0</v>
      </c>
      <c r="U71" s="2"/>
      <c r="V71" s="2"/>
      <c r="W71" s="2"/>
      <c r="X71" s="2"/>
      <c r="Y71" s="138"/>
      <c r="Z71" s="138"/>
      <c r="AB71" s="138"/>
      <c r="AC71" s="138"/>
      <c r="AD71" s="138"/>
      <c r="AE71" s="138"/>
      <c r="AF71" s="138"/>
      <c r="AG71" s="159"/>
      <c r="AH71" s="159"/>
      <c r="AI71" s="159"/>
      <c r="AJ71" s="159"/>
      <c r="AK71" s="159"/>
      <c r="AL71" s="159"/>
    </row>
    <row r="72" ht="18.75" customHeight="1">
      <c r="A72" s="146"/>
      <c r="B72" s="147"/>
      <c r="C72" s="124"/>
      <c r="D72" s="124"/>
      <c r="E72" s="123">
        <f t="shared" si="6"/>
        <v>0</v>
      </c>
      <c r="F72" s="125">
        <f t="shared" si="7"/>
        <v>0</v>
      </c>
      <c r="G72" s="148"/>
      <c r="H72" s="148"/>
      <c r="I72" s="126">
        <f t="shared" si="8"/>
        <v>0</v>
      </c>
      <c r="J72" s="125">
        <f t="shared" si="9"/>
        <v>0</v>
      </c>
      <c r="K72" s="149"/>
      <c r="L72" s="149"/>
      <c r="M72" s="149"/>
      <c r="N72" s="149"/>
      <c r="O72" s="126">
        <f t="shared" si="10"/>
        <v>0</v>
      </c>
      <c r="P72" s="148"/>
      <c r="Q72" s="135">
        <f t="shared" si="11"/>
        <v>0</v>
      </c>
      <c r="R72" s="135">
        <f t="shared" si="12"/>
        <v>0</v>
      </c>
      <c r="S72" s="135">
        <f t="shared" si="13"/>
        <v>0</v>
      </c>
      <c r="T72" s="135">
        <f t="shared" si="14"/>
        <v>0</v>
      </c>
      <c r="U72" s="2"/>
      <c r="V72" s="2"/>
      <c r="W72" s="2"/>
      <c r="X72" s="2"/>
      <c r="Y72" s="138"/>
      <c r="Z72" s="138"/>
      <c r="AB72" s="138"/>
      <c r="AC72" s="138"/>
      <c r="AD72" s="138"/>
      <c r="AE72" s="138"/>
      <c r="AF72" s="138"/>
      <c r="AG72" s="159"/>
      <c r="AH72" s="159"/>
      <c r="AI72" s="159"/>
      <c r="AJ72" s="159"/>
      <c r="AK72" s="159"/>
      <c r="AL72" s="159"/>
    </row>
    <row r="73" ht="18.75" customHeight="1">
      <c r="A73" s="146"/>
      <c r="B73" s="163"/>
      <c r="C73" s="124"/>
      <c r="D73" s="124"/>
      <c r="E73" s="123">
        <f t="shared" si="6"/>
        <v>0</v>
      </c>
      <c r="F73" s="125">
        <f t="shared" si="7"/>
        <v>0</v>
      </c>
      <c r="G73" s="148"/>
      <c r="H73" s="148"/>
      <c r="I73" s="126">
        <f t="shared" si="8"/>
        <v>0</v>
      </c>
      <c r="J73" s="125">
        <f t="shared" si="9"/>
        <v>0</v>
      </c>
      <c r="K73" s="149"/>
      <c r="L73" s="149"/>
      <c r="M73" s="149"/>
      <c r="N73" s="149"/>
      <c r="O73" s="126">
        <f t="shared" si="10"/>
        <v>0</v>
      </c>
      <c r="P73" s="148"/>
      <c r="Q73" s="135">
        <f t="shared" si="11"/>
        <v>0</v>
      </c>
      <c r="R73" s="135">
        <f t="shared" si="12"/>
        <v>0</v>
      </c>
      <c r="S73" s="135">
        <f t="shared" si="13"/>
        <v>0</v>
      </c>
      <c r="T73" s="135">
        <f t="shared" si="14"/>
        <v>0</v>
      </c>
      <c r="U73" s="2"/>
      <c r="V73" s="2"/>
      <c r="W73" s="2"/>
      <c r="X73" s="2"/>
      <c r="Y73" s="138"/>
      <c r="Z73" s="138"/>
      <c r="AB73" s="138"/>
      <c r="AC73" s="138"/>
      <c r="AD73" s="138"/>
      <c r="AE73" s="138"/>
      <c r="AF73" s="138"/>
      <c r="AG73" s="164"/>
      <c r="AH73" s="164"/>
      <c r="AI73" s="164"/>
      <c r="AJ73" s="164"/>
      <c r="AK73" s="164"/>
      <c r="AL73" s="164"/>
    </row>
    <row r="74" ht="18.75" customHeight="1">
      <c r="A74" s="146"/>
      <c r="B74" s="165"/>
      <c r="C74" s="124"/>
      <c r="D74" s="124"/>
      <c r="E74" s="123">
        <f t="shared" si="6"/>
        <v>0</v>
      </c>
      <c r="F74" s="125">
        <f t="shared" si="7"/>
        <v>0</v>
      </c>
      <c r="G74" s="148"/>
      <c r="H74" s="148"/>
      <c r="I74" s="126">
        <f t="shared" si="8"/>
        <v>0</v>
      </c>
      <c r="J74" s="125">
        <f t="shared" si="9"/>
        <v>0</v>
      </c>
      <c r="K74" s="149"/>
      <c r="L74" s="149"/>
      <c r="M74" s="149"/>
      <c r="N74" s="149"/>
      <c r="O74" s="126">
        <f t="shared" si="10"/>
        <v>0</v>
      </c>
      <c r="P74" s="148"/>
      <c r="Q74" s="135">
        <f t="shared" si="11"/>
        <v>0</v>
      </c>
      <c r="R74" s="135">
        <f t="shared" si="12"/>
        <v>0</v>
      </c>
      <c r="S74" s="135">
        <f t="shared" si="13"/>
        <v>0</v>
      </c>
      <c r="T74" s="135">
        <f t="shared" si="14"/>
        <v>0</v>
      </c>
      <c r="U74" s="2"/>
      <c r="V74" s="2"/>
      <c r="W74" s="2"/>
      <c r="X74" s="2"/>
      <c r="Y74" s="138"/>
      <c r="Z74" s="138"/>
      <c r="AB74" s="138"/>
      <c r="AC74" s="138"/>
      <c r="AD74" s="138"/>
      <c r="AE74" s="138"/>
      <c r="AF74" s="138"/>
      <c r="AG74" s="166"/>
      <c r="AH74" s="166"/>
      <c r="AI74" s="166"/>
      <c r="AJ74" s="166"/>
      <c r="AK74" s="166"/>
      <c r="AL74" s="166"/>
    </row>
    <row r="75" ht="18.75" customHeight="1">
      <c r="A75" s="146"/>
      <c r="B75" s="165"/>
      <c r="C75" s="124"/>
      <c r="D75" s="124"/>
      <c r="E75" s="123">
        <f t="shared" si="6"/>
        <v>0</v>
      </c>
      <c r="F75" s="125">
        <f t="shared" si="7"/>
        <v>0</v>
      </c>
      <c r="G75" s="148"/>
      <c r="H75" s="148"/>
      <c r="I75" s="126">
        <f t="shared" si="8"/>
        <v>0</v>
      </c>
      <c r="J75" s="125">
        <f t="shared" si="9"/>
        <v>0</v>
      </c>
      <c r="K75" s="149"/>
      <c r="L75" s="149"/>
      <c r="M75" s="149"/>
      <c r="N75" s="149"/>
      <c r="O75" s="126">
        <f t="shared" si="10"/>
        <v>0</v>
      </c>
      <c r="P75" s="148"/>
      <c r="Q75" s="135">
        <f t="shared" si="11"/>
        <v>0</v>
      </c>
      <c r="R75" s="135">
        <f t="shared" si="12"/>
        <v>0</v>
      </c>
      <c r="S75" s="135">
        <f t="shared" si="13"/>
        <v>0</v>
      </c>
      <c r="T75" s="135">
        <f t="shared" si="14"/>
        <v>0</v>
      </c>
      <c r="U75" s="2"/>
      <c r="V75" s="2"/>
      <c r="W75" s="2"/>
      <c r="X75" s="2"/>
      <c r="Y75" s="138"/>
      <c r="Z75" s="138"/>
      <c r="AB75" s="138"/>
      <c r="AC75" s="138"/>
      <c r="AD75" s="138"/>
      <c r="AE75" s="138"/>
      <c r="AF75" s="138"/>
      <c r="AG75" s="167"/>
      <c r="AH75" s="167"/>
      <c r="AI75" s="167"/>
      <c r="AJ75" s="167"/>
      <c r="AK75" s="167"/>
      <c r="AL75" s="167"/>
    </row>
    <row r="76" ht="18.75" customHeight="1">
      <c r="A76" s="146"/>
      <c r="B76" s="165"/>
      <c r="C76" s="124"/>
      <c r="D76" s="124"/>
      <c r="E76" s="123">
        <f t="shared" si="6"/>
        <v>0</v>
      </c>
      <c r="F76" s="125">
        <f t="shared" si="7"/>
        <v>0</v>
      </c>
      <c r="G76" s="148"/>
      <c r="H76" s="148"/>
      <c r="I76" s="126">
        <f t="shared" si="8"/>
        <v>0</v>
      </c>
      <c r="J76" s="125">
        <f t="shared" si="9"/>
        <v>0</v>
      </c>
      <c r="K76" s="149"/>
      <c r="L76" s="149"/>
      <c r="M76" s="149"/>
      <c r="N76" s="149"/>
      <c r="O76" s="126">
        <f t="shared" si="10"/>
        <v>0</v>
      </c>
      <c r="P76" s="148"/>
      <c r="Q76" s="135">
        <f t="shared" si="11"/>
        <v>0</v>
      </c>
      <c r="R76" s="135">
        <f t="shared" si="12"/>
        <v>0</v>
      </c>
      <c r="S76" s="135">
        <f t="shared" si="13"/>
        <v>0</v>
      </c>
      <c r="T76" s="135">
        <f t="shared" si="14"/>
        <v>0</v>
      </c>
      <c r="U76" s="2"/>
      <c r="V76" s="2"/>
      <c r="W76" s="2"/>
      <c r="X76" s="2"/>
      <c r="Y76" s="138"/>
      <c r="Z76" s="138"/>
      <c r="AB76" s="138"/>
      <c r="AC76" s="138"/>
      <c r="AD76" s="138"/>
      <c r="AE76" s="138"/>
      <c r="AF76" s="138"/>
      <c r="AG76" s="167"/>
      <c r="AH76" s="167"/>
      <c r="AI76" s="167"/>
      <c r="AJ76" s="167"/>
      <c r="AK76" s="167"/>
      <c r="AL76" s="167"/>
    </row>
    <row r="77" ht="18.75" customHeight="1">
      <c r="A77" s="146"/>
      <c r="B77" s="165"/>
      <c r="C77" s="124"/>
      <c r="D77" s="124"/>
      <c r="E77" s="123">
        <f t="shared" si="6"/>
        <v>0</v>
      </c>
      <c r="F77" s="125">
        <f t="shared" si="7"/>
        <v>0</v>
      </c>
      <c r="G77" s="148"/>
      <c r="H77" s="148"/>
      <c r="I77" s="126">
        <f t="shared" si="8"/>
        <v>0</v>
      </c>
      <c r="J77" s="125">
        <f t="shared" si="9"/>
        <v>0</v>
      </c>
      <c r="K77" s="149"/>
      <c r="L77" s="149"/>
      <c r="M77" s="149"/>
      <c r="N77" s="149"/>
      <c r="O77" s="126">
        <f t="shared" si="10"/>
        <v>0</v>
      </c>
      <c r="P77" s="148"/>
      <c r="Q77" s="135">
        <f t="shared" si="11"/>
        <v>0</v>
      </c>
      <c r="R77" s="135">
        <f t="shared" si="12"/>
        <v>0</v>
      </c>
      <c r="S77" s="135">
        <f t="shared" si="13"/>
        <v>0</v>
      </c>
      <c r="T77" s="135">
        <f t="shared" si="14"/>
        <v>0</v>
      </c>
      <c r="U77" s="2"/>
      <c r="V77" s="2"/>
      <c r="W77" s="2"/>
      <c r="X77" s="2"/>
      <c r="Y77" s="138"/>
      <c r="Z77" s="138"/>
      <c r="AB77" s="138"/>
      <c r="AC77" s="138"/>
      <c r="AD77" s="138"/>
      <c r="AE77" s="138"/>
      <c r="AF77" s="138"/>
      <c r="AG77" s="167"/>
      <c r="AH77" s="167"/>
      <c r="AI77" s="167"/>
      <c r="AJ77" s="167"/>
      <c r="AK77" s="167"/>
      <c r="AL77" s="167"/>
    </row>
    <row r="78" ht="18.75" customHeight="1">
      <c r="A78" s="146"/>
      <c r="B78" s="165"/>
      <c r="C78" s="124"/>
      <c r="D78" s="124"/>
      <c r="E78" s="123">
        <f t="shared" si="6"/>
        <v>0</v>
      </c>
      <c r="F78" s="125">
        <f t="shared" si="7"/>
        <v>0</v>
      </c>
      <c r="G78" s="148"/>
      <c r="H78" s="148"/>
      <c r="I78" s="126">
        <f t="shared" si="8"/>
        <v>0</v>
      </c>
      <c r="J78" s="125">
        <f t="shared" si="9"/>
        <v>0</v>
      </c>
      <c r="K78" s="149"/>
      <c r="L78" s="149"/>
      <c r="M78" s="149"/>
      <c r="N78" s="149"/>
      <c r="O78" s="126">
        <f t="shared" si="10"/>
        <v>0</v>
      </c>
      <c r="P78" s="148"/>
      <c r="Q78" s="135">
        <f t="shared" si="11"/>
        <v>0</v>
      </c>
      <c r="R78" s="135">
        <f t="shared" si="12"/>
        <v>0</v>
      </c>
      <c r="S78" s="135">
        <f t="shared" si="13"/>
        <v>0</v>
      </c>
      <c r="T78" s="135">
        <f t="shared" si="14"/>
        <v>0</v>
      </c>
      <c r="U78" s="2"/>
      <c r="V78" s="2"/>
      <c r="W78" s="2"/>
      <c r="X78" s="2"/>
      <c r="Y78" s="138"/>
      <c r="Z78" s="138"/>
      <c r="AB78" s="138"/>
      <c r="AC78" s="138"/>
      <c r="AD78" s="138"/>
      <c r="AE78" s="138"/>
      <c r="AF78" s="138"/>
      <c r="AG78" s="168"/>
      <c r="AH78" s="168"/>
      <c r="AI78" s="168"/>
      <c r="AJ78" s="168"/>
      <c r="AK78" s="168"/>
      <c r="AL78" s="168"/>
    </row>
    <row r="79" ht="18.75" customHeight="1">
      <c r="A79" s="146"/>
      <c r="B79" s="169"/>
      <c r="C79" s="124"/>
      <c r="D79" s="124"/>
      <c r="E79" s="123">
        <f t="shared" si="6"/>
        <v>0</v>
      </c>
      <c r="F79" s="125">
        <f t="shared" si="7"/>
        <v>0</v>
      </c>
      <c r="G79" s="148"/>
      <c r="H79" s="148"/>
      <c r="I79" s="126">
        <f t="shared" si="8"/>
        <v>0</v>
      </c>
      <c r="J79" s="125">
        <f t="shared" si="9"/>
        <v>0</v>
      </c>
      <c r="K79" s="149"/>
      <c r="L79" s="149"/>
      <c r="M79" s="149"/>
      <c r="N79" s="149"/>
      <c r="O79" s="126">
        <f t="shared" si="10"/>
        <v>0</v>
      </c>
      <c r="P79" s="148"/>
      <c r="Q79" s="135">
        <f t="shared" si="11"/>
        <v>0</v>
      </c>
      <c r="R79" s="135">
        <f t="shared" si="12"/>
        <v>0</v>
      </c>
      <c r="S79" s="135">
        <f t="shared" si="13"/>
        <v>0</v>
      </c>
      <c r="T79" s="135">
        <f t="shared" si="14"/>
        <v>0</v>
      </c>
      <c r="U79" s="2"/>
      <c r="V79" s="2"/>
      <c r="W79" s="2"/>
      <c r="X79" s="2"/>
      <c r="Y79" s="138"/>
      <c r="Z79" s="138"/>
      <c r="AB79" s="138"/>
      <c r="AC79" s="138"/>
      <c r="AD79" s="138"/>
      <c r="AE79" s="138"/>
      <c r="AF79" s="138"/>
      <c r="AG79" s="159"/>
      <c r="AH79" s="159"/>
      <c r="AI79" s="159"/>
      <c r="AJ79" s="159"/>
      <c r="AK79" s="159"/>
      <c r="AL79" s="159"/>
    </row>
    <row r="80" ht="18.75" customHeight="1">
      <c r="A80" s="146"/>
      <c r="B80" s="169"/>
      <c r="C80" s="124"/>
      <c r="D80" s="124"/>
      <c r="E80" s="123">
        <f t="shared" si="6"/>
        <v>0</v>
      </c>
      <c r="F80" s="125">
        <f t="shared" si="7"/>
        <v>0</v>
      </c>
      <c r="G80" s="148"/>
      <c r="H80" s="148"/>
      <c r="I80" s="126">
        <f t="shared" si="8"/>
        <v>0</v>
      </c>
      <c r="J80" s="125">
        <f t="shared" si="9"/>
        <v>0</v>
      </c>
      <c r="K80" s="149"/>
      <c r="L80" s="149"/>
      <c r="M80" s="149"/>
      <c r="N80" s="149"/>
      <c r="O80" s="126">
        <f t="shared" si="10"/>
        <v>0</v>
      </c>
      <c r="P80" s="148"/>
      <c r="Q80" s="135">
        <f t="shared" si="11"/>
        <v>0</v>
      </c>
      <c r="R80" s="135">
        <f t="shared" si="12"/>
        <v>0</v>
      </c>
      <c r="S80" s="135">
        <f t="shared" si="13"/>
        <v>0</v>
      </c>
      <c r="T80" s="135">
        <f t="shared" si="14"/>
        <v>0</v>
      </c>
      <c r="U80" s="2"/>
      <c r="V80" s="2"/>
      <c r="W80" s="2"/>
      <c r="X80" s="2"/>
      <c r="Y80" s="138"/>
      <c r="Z80" s="138"/>
      <c r="AB80" s="138"/>
      <c r="AC80" s="138"/>
      <c r="AD80" s="138"/>
      <c r="AE80" s="138"/>
      <c r="AF80" s="138"/>
      <c r="AG80" s="2"/>
      <c r="AH80" s="2"/>
      <c r="AI80" s="2"/>
      <c r="AJ80" s="2"/>
      <c r="AK80" s="170"/>
      <c r="AL80" s="170"/>
    </row>
    <row r="81" ht="18.75" customHeight="1">
      <c r="A81" s="146"/>
      <c r="B81" s="152"/>
      <c r="C81" s="124"/>
      <c r="D81" s="124"/>
      <c r="E81" s="123">
        <f t="shared" si="6"/>
        <v>0</v>
      </c>
      <c r="F81" s="125">
        <f t="shared" si="7"/>
        <v>0</v>
      </c>
      <c r="G81" s="148"/>
      <c r="H81" s="148"/>
      <c r="I81" s="126">
        <f t="shared" si="8"/>
        <v>0</v>
      </c>
      <c r="J81" s="125">
        <f t="shared" si="9"/>
        <v>0</v>
      </c>
      <c r="K81" s="149"/>
      <c r="L81" s="149"/>
      <c r="M81" s="149"/>
      <c r="N81" s="149"/>
      <c r="O81" s="126">
        <f t="shared" si="10"/>
        <v>0</v>
      </c>
      <c r="P81" s="148"/>
      <c r="Q81" s="135">
        <f t="shared" si="11"/>
        <v>0</v>
      </c>
      <c r="R81" s="135">
        <f t="shared" si="12"/>
        <v>0</v>
      </c>
      <c r="S81" s="135">
        <f t="shared" si="13"/>
        <v>0</v>
      </c>
      <c r="T81" s="135">
        <f t="shared" si="14"/>
        <v>0</v>
      </c>
      <c r="U81" s="2"/>
      <c r="V81" s="2"/>
      <c r="W81" s="2"/>
      <c r="X81" s="2"/>
      <c r="Y81" s="138"/>
      <c r="Z81" s="138"/>
      <c r="AB81" s="138"/>
      <c r="AC81" s="138"/>
      <c r="AD81" s="138"/>
      <c r="AE81" s="138"/>
      <c r="AF81" s="138"/>
      <c r="AG81" s="2"/>
      <c r="AH81" s="2"/>
      <c r="AI81" s="2"/>
      <c r="AJ81" s="2"/>
      <c r="AK81" s="2"/>
      <c r="AL81" s="2"/>
    </row>
    <row r="82" ht="18.75" customHeight="1">
      <c r="A82" s="146"/>
      <c r="B82" s="152"/>
      <c r="C82" s="124"/>
      <c r="D82" s="124"/>
      <c r="E82" s="123">
        <f t="shared" si="6"/>
        <v>0</v>
      </c>
      <c r="F82" s="125">
        <f t="shared" si="7"/>
        <v>0</v>
      </c>
      <c r="G82" s="148"/>
      <c r="H82" s="148"/>
      <c r="I82" s="126">
        <f t="shared" si="8"/>
        <v>0</v>
      </c>
      <c r="J82" s="125">
        <f t="shared" si="9"/>
        <v>0</v>
      </c>
      <c r="K82" s="149"/>
      <c r="L82" s="149"/>
      <c r="M82" s="149"/>
      <c r="N82" s="149"/>
      <c r="O82" s="126">
        <f t="shared" si="10"/>
        <v>0</v>
      </c>
      <c r="P82" s="148"/>
      <c r="Q82" s="135">
        <f t="shared" si="11"/>
        <v>0</v>
      </c>
      <c r="R82" s="135">
        <f t="shared" si="12"/>
        <v>0</v>
      </c>
      <c r="S82" s="135">
        <f t="shared" si="13"/>
        <v>0</v>
      </c>
      <c r="T82" s="135">
        <f t="shared" si="14"/>
        <v>0</v>
      </c>
      <c r="U82" s="2"/>
      <c r="V82" s="2"/>
      <c r="W82" s="2"/>
      <c r="X82" s="2"/>
      <c r="Y82" s="138"/>
      <c r="Z82" s="138"/>
      <c r="AB82" s="138"/>
      <c r="AC82" s="138"/>
      <c r="AD82" s="138"/>
      <c r="AE82" s="138"/>
      <c r="AF82" s="138"/>
      <c r="AG82" s="2"/>
      <c r="AH82" s="2"/>
      <c r="AI82" s="2"/>
      <c r="AJ82" s="2"/>
      <c r="AK82" s="2"/>
      <c r="AL82" s="2"/>
    </row>
    <row r="83" ht="18.75" customHeight="1">
      <c r="A83" s="146"/>
      <c r="B83" s="152"/>
      <c r="C83" s="124"/>
      <c r="D83" s="124"/>
      <c r="E83" s="123">
        <f t="shared" si="6"/>
        <v>0</v>
      </c>
      <c r="F83" s="125">
        <f t="shared" si="7"/>
        <v>0</v>
      </c>
      <c r="G83" s="148"/>
      <c r="H83" s="148"/>
      <c r="I83" s="126">
        <f t="shared" si="8"/>
        <v>0</v>
      </c>
      <c r="J83" s="125">
        <f t="shared" si="9"/>
        <v>0</v>
      </c>
      <c r="K83" s="149"/>
      <c r="L83" s="149"/>
      <c r="M83" s="149"/>
      <c r="N83" s="149"/>
      <c r="O83" s="126">
        <f t="shared" si="10"/>
        <v>0</v>
      </c>
      <c r="P83" s="148"/>
      <c r="Q83" s="135">
        <f t="shared" si="11"/>
        <v>0</v>
      </c>
      <c r="R83" s="135">
        <f t="shared" si="12"/>
        <v>0</v>
      </c>
      <c r="S83" s="135">
        <f t="shared" si="13"/>
        <v>0</v>
      </c>
      <c r="T83" s="135">
        <f t="shared" si="14"/>
        <v>0</v>
      </c>
      <c r="U83" s="2"/>
      <c r="V83" s="2"/>
      <c r="W83" s="2"/>
      <c r="X83" s="2"/>
      <c r="Y83" s="138"/>
      <c r="Z83" s="138"/>
      <c r="AB83" s="138"/>
      <c r="AC83" s="138"/>
      <c r="AD83" s="138"/>
      <c r="AE83" s="138"/>
      <c r="AF83" s="138"/>
      <c r="AG83" s="2"/>
      <c r="AH83" s="2"/>
      <c r="AI83" s="2"/>
      <c r="AJ83" s="2"/>
      <c r="AK83" s="2"/>
      <c r="AL83" s="2"/>
    </row>
    <row r="84" ht="18.75" customHeight="1">
      <c r="A84" s="146"/>
      <c r="B84" s="152"/>
      <c r="C84" s="124"/>
      <c r="D84" s="124"/>
      <c r="E84" s="123">
        <f t="shared" si="6"/>
        <v>0</v>
      </c>
      <c r="F84" s="125">
        <f t="shared" si="7"/>
        <v>0</v>
      </c>
      <c r="G84" s="148"/>
      <c r="H84" s="148"/>
      <c r="I84" s="126">
        <f t="shared" si="8"/>
        <v>0</v>
      </c>
      <c r="J84" s="125">
        <f t="shared" si="9"/>
        <v>0</v>
      </c>
      <c r="K84" s="149"/>
      <c r="L84" s="149"/>
      <c r="M84" s="149"/>
      <c r="N84" s="149"/>
      <c r="O84" s="126">
        <f t="shared" si="10"/>
        <v>0</v>
      </c>
      <c r="P84" s="148"/>
      <c r="Q84" s="135">
        <f t="shared" si="11"/>
        <v>0</v>
      </c>
      <c r="R84" s="135">
        <f t="shared" si="12"/>
        <v>0</v>
      </c>
      <c r="S84" s="135">
        <f t="shared" si="13"/>
        <v>0</v>
      </c>
      <c r="T84" s="135">
        <f t="shared" si="14"/>
        <v>0</v>
      </c>
      <c r="U84" s="2"/>
      <c r="V84" s="2"/>
      <c r="W84" s="2"/>
      <c r="X84" s="2"/>
      <c r="Y84" s="138"/>
      <c r="Z84" s="138"/>
      <c r="AB84" s="138"/>
      <c r="AC84" s="138"/>
      <c r="AD84" s="138"/>
      <c r="AE84" s="138"/>
      <c r="AF84" s="138"/>
      <c r="AG84" s="2"/>
      <c r="AH84" s="2"/>
      <c r="AI84" s="2"/>
      <c r="AJ84" s="2"/>
      <c r="AK84" s="2"/>
      <c r="AL84" s="2"/>
    </row>
    <row r="85" ht="18.75" customHeight="1">
      <c r="A85" s="146"/>
      <c r="B85" s="152"/>
      <c r="C85" s="124"/>
      <c r="D85" s="124"/>
      <c r="E85" s="123">
        <f t="shared" si="6"/>
        <v>0</v>
      </c>
      <c r="F85" s="125">
        <f t="shared" si="7"/>
        <v>0</v>
      </c>
      <c r="G85" s="148"/>
      <c r="H85" s="148"/>
      <c r="I85" s="126">
        <f t="shared" si="8"/>
        <v>0</v>
      </c>
      <c r="J85" s="125">
        <f t="shared" si="9"/>
        <v>0</v>
      </c>
      <c r="K85" s="149"/>
      <c r="L85" s="149"/>
      <c r="M85" s="149"/>
      <c r="N85" s="149"/>
      <c r="O85" s="126">
        <f t="shared" si="10"/>
        <v>0</v>
      </c>
      <c r="P85" s="148"/>
      <c r="Q85" s="135">
        <f t="shared" si="11"/>
        <v>0</v>
      </c>
      <c r="R85" s="135">
        <f t="shared" si="12"/>
        <v>0</v>
      </c>
      <c r="S85" s="135">
        <f t="shared" si="13"/>
        <v>0</v>
      </c>
      <c r="T85" s="135">
        <f t="shared" si="14"/>
        <v>0</v>
      </c>
      <c r="U85" s="2"/>
      <c r="V85" s="2"/>
      <c r="W85" s="2"/>
      <c r="X85" s="2"/>
      <c r="Y85" s="138"/>
      <c r="Z85" s="138"/>
      <c r="AB85" s="138"/>
      <c r="AC85" s="138"/>
      <c r="AD85" s="138"/>
      <c r="AE85" s="138"/>
      <c r="AF85" s="138"/>
      <c r="AG85" s="2"/>
      <c r="AH85" s="2"/>
      <c r="AI85" s="2"/>
      <c r="AJ85" s="2"/>
      <c r="AK85" s="2"/>
      <c r="AL85" s="2"/>
    </row>
    <row r="86" ht="18.75" customHeight="1">
      <c r="A86" s="146"/>
      <c r="B86" s="152"/>
      <c r="C86" s="124"/>
      <c r="D86" s="124"/>
      <c r="E86" s="123">
        <f t="shared" si="6"/>
        <v>0</v>
      </c>
      <c r="F86" s="125">
        <f t="shared" si="7"/>
        <v>0</v>
      </c>
      <c r="G86" s="148"/>
      <c r="H86" s="148"/>
      <c r="I86" s="126">
        <f t="shared" si="8"/>
        <v>0</v>
      </c>
      <c r="J86" s="125">
        <f t="shared" si="9"/>
        <v>0</v>
      </c>
      <c r="K86" s="149"/>
      <c r="L86" s="149"/>
      <c r="M86" s="149"/>
      <c r="N86" s="149"/>
      <c r="O86" s="126">
        <f t="shared" si="10"/>
        <v>0</v>
      </c>
      <c r="P86" s="148"/>
      <c r="Q86" s="135">
        <f t="shared" si="11"/>
        <v>0</v>
      </c>
      <c r="R86" s="135">
        <f t="shared" si="12"/>
        <v>0</v>
      </c>
      <c r="S86" s="135">
        <f t="shared" si="13"/>
        <v>0</v>
      </c>
      <c r="T86" s="135">
        <f t="shared" si="14"/>
        <v>0</v>
      </c>
      <c r="U86" s="2"/>
      <c r="V86" s="2"/>
      <c r="W86" s="2"/>
      <c r="X86" s="2"/>
      <c r="Y86" s="138"/>
      <c r="Z86" s="138"/>
      <c r="AB86" s="138"/>
      <c r="AC86" s="138"/>
      <c r="AD86" s="138"/>
      <c r="AE86" s="138"/>
      <c r="AF86" s="138"/>
      <c r="AG86" s="2"/>
      <c r="AH86" s="2"/>
      <c r="AI86" s="2"/>
      <c r="AJ86" s="2"/>
      <c r="AK86" s="2"/>
      <c r="AL86" s="2"/>
    </row>
    <row r="87" ht="18.75" customHeight="1">
      <c r="A87" s="146"/>
      <c r="B87" s="152"/>
      <c r="C87" s="124"/>
      <c r="D87" s="124"/>
      <c r="E87" s="123">
        <f t="shared" si="6"/>
        <v>0</v>
      </c>
      <c r="F87" s="125">
        <f t="shared" si="7"/>
        <v>0</v>
      </c>
      <c r="G87" s="148"/>
      <c r="H87" s="148"/>
      <c r="I87" s="126">
        <f t="shared" si="8"/>
        <v>0</v>
      </c>
      <c r="J87" s="125">
        <f t="shared" si="9"/>
        <v>0</v>
      </c>
      <c r="K87" s="149"/>
      <c r="L87" s="149"/>
      <c r="M87" s="149"/>
      <c r="N87" s="149"/>
      <c r="O87" s="126">
        <f t="shared" si="10"/>
        <v>0</v>
      </c>
      <c r="P87" s="148"/>
      <c r="Q87" s="135">
        <f t="shared" si="11"/>
        <v>0</v>
      </c>
      <c r="R87" s="135">
        <f t="shared" si="12"/>
        <v>0</v>
      </c>
      <c r="S87" s="135">
        <f t="shared" si="13"/>
        <v>0</v>
      </c>
      <c r="T87" s="135">
        <f t="shared" si="14"/>
        <v>0</v>
      </c>
      <c r="U87" s="2"/>
      <c r="V87" s="2"/>
      <c r="W87" s="2"/>
      <c r="X87" s="2"/>
      <c r="Y87" s="138"/>
      <c r="Z87" s="138"/>
      <c r="AB87" s="138"/>
      <c r="AC87" s="138"/>
      <c r="AD87" s="138"/>
      <c r="AE87" s="138"/>
      <c r="AF87" s="138"/>
      <c r="AG87" s="2"/>
      <c r="AH87" s="2"/>
      <c r="AI87" s="2"/>
      <c r="AJ87" s="2"/>
      <c r="AK87" s="2"/>
      <c r="AL87" s="2"/>
    </row>
    <row r="88" ht="18.75" customHeight="1">
      <c r="A88" s="146"/>
      <c r="B88" s="152"/>
      <c r="C88" s="124"/>
      <c r="D88" s="124"/>
      <c r="E88" s="123">
        <f t="shared" si="6"/>
        <v>0</v>
      </c>
      <c r="F88" s="125">
        <f t="shared" si="7"/>
        <v>0</v>
      </c>
      <c r="G88" s="148"/>
      <c r="H88" s="148"/>
      <c r="I88" s="126">
        <f t="shared" si="8"/>
        <v>0</v>
      </c>
      <c r="J88" s="125">
        <f t="shared" si="9"/>
        <v>0</v>
      </c>
      <c r="K88" s="149"/>
      <c r="L88" s="149"/>
      <c r="M88" s="149"/>
      <c r="N88" s="149"/>
      <c r="O88" s="126">
        <f t="shared" si="10"/>
        <v>0</v>
      </c>
      <c r="P88" s="148"/>
      <c r="Q88" s="135">
        <f t="shared" si="11"/>
        <v>0</v>
      </c>
      <c r="R88" s="135">
        <f t="shared" si="12"/>
        <v>0</v>
      </c>
      <c r="S88" s="135">
        <f t="shared" si="13"/>
        <v>0</v>
      </c>
      <c r="T88" s="135">
        <f t="shared" si="14"/>
        <v>0</v>
      </c>
      <c r="U88" s="2"/>
      <c r="V88" s="2"/>
      <c r="W88" s="2"/>
      <c r="X88" s="2"/>
      <c r="Y88" s="138"/>
      <c r="Z88" s="138"/>
      <c r="AB88" s="138"/>
      <c r="AC88" s="138"/>
      <c r="AD88" s="138"/>
      <c r="AE88" s="138"/>
      <c r="AF88" s="138"/>
      <c r="AG88" s="2"/>
      <c r="AH88" s="2"/>
      <c r="AI88" s="2"/>
      <c r="AJ88" s="2"/>
      <c r="AK88" s="2"/>
      <c r="AL88" s="2"/>
    </row>
    <row r="89" ht="18.75" customHeight="1">
      <c r="A89" s="146"/>
      <c r="B89" s="152"/>
      <c r="C89" s="124"/>
      <c r="D89" s="124"/>
      <c r="E89" s="123">
        <f t="shared" si="6"/>
        <v>0</v>
      </c>
      <c r="F89" s="125">
        <f t="shared" si="7"/>
        <v>0</v>
      </c>
      <c r="G89" s="148"/>
      <c r="H89" s="148"/>
      <c r="I89" s="126">
        <f t="shared" si="8"/>
        <v>0</v>
      </c>
      <c r="J89" s="125">
        <f t="shared" si="9"/>
        <v>0</v>
      </c>
      <c r="K89" s="149"/>
      <c r="L89" s="149"/>
      <c r="M89" s="149"/>
      <c r="N89" s="149"/>
      <c r="O89" s="126">
        <f t="shared" si="10"/>
        <v>0</v>
      </c>
      <c r="P89" s="148"/>
      <c r="Q89" s="135">
        <f t="shared" si="11"/>
        <v>0</v>
      </c>
      <c r="R89" s="135">
        <f t="shared" si="12"/>
        <v>0</v>
      </c>
      <c r="S89" s="135">
        <f t="shared" si="13"/>
        <v>0</v>
      </c>
      <c r="T89" s="135">
        <f t="shared" si="14"/>
        <v>0</v>
      </c>
      <c r="U89" s="2"/>
      <c r="V89" s="2"/>
      <c r="W89" s="2"/>
      <c r="X89" s="2"/>
      <c r="Y89" s="138"/>
      <c r="Z89" s="138"/>
      <c r="AB89" s="138"/>
      <c r="AC89" s="138"/>
      <c r="AD89" s="138"/>
      <c r="AE89" s="138"/>
      <c r="AF89" s="138"/>
      <c r="AG89" s="2"/>
      <c r="AH89" s="2"/>
      <c r="AI89" s="2"/>
      <c r="AJ89" s="2"/>
      <c r="AK89" s="2"/>
      <c r="AL89" s="2"/>
    </row>
    <row r="90" ht="18.75" customHeight="1">
      <c r="A90" s="146"/>
      <c r="B90" s="152"/>
      <c r="C90" s="124"/>
      <c r="D90" s="124"/>
      <c r="E90" s="123">
        <f t="shared" si="6"/>
        <v>0</v>
      </c>
      <c r="F90" s="125">
        <f t="shared" si="7"/>
        <v>0</v>
      </c>
      <c r="G90" s="148"/>
      <c r="H90" s="148"/>
      <c r="I90" s="126">
        <f t="shared" si="8"/>
        <v>0</v>
      </c>
      <c r="J90" s="125">
        <f t="shared" si="9"/>
        <v>0</v>
      </c>
      <c r="K90" s="149"/>
      <c r="L90" s="149"/>
      <c r="M90" s="149"/>
      <c r="N90" s="149"/>
      <c r="O90" s="126">
        <f t="shared" si="10"/>
        <v>0</v>
      </c>
      <c r="P90" s="148"/>
      <c r="Q90" s="135">
        <f t="shared" si="11"/>
        <v>0</v>
      </c>
      <c r="R90" s="135">
        <f t="shared" si="12"/>
        <v>0</v>
      </c>
      <c r="S90" s="135">
        <f t="shared" si="13"/>
        <v>0</v>
      </c>
      <c r="T90" s="135">
        <f t="shared" si="14"/>
        <v>0</v>
      </c>
      <c r="U90" s="2"/>
      <c r="V90" s="2"/>
      <c r="W90" s="2"/>
      <c r="X90" s="2"/>
      <c r="Y90" s="138"/>
      <c r="Z90" s="138"/>
      <c r="AB90" s="138"/>
      <c r="AC90" s="138"/>
      <c r="AD90" s="138"/>
      <c r="AE90" s="138"/>
      <c r="AF90" s="138"/>
      <c r="AG90" s="2"/>
      <c r="AH90" s="2"/>
      <c r="AI90" s="2"/>
      <c r="AJ90" s="2"/>
      <c r="AK90" s="2"/>
      <c r="AL90" s="2"/>
    </row>
    <row r="91" ht="18.75" customHeight="1">
      <c r="A91" s="146"/>
      <c r="B91" s="152"/>
      <c r="C91" s="124"/>
      <c r="D91" s="124"/>
      <c r="E91" s="123">
        <f t="shared" si="6"/>
        <v>0</v>
      </c>
      <c r="F91" s="125">
        <f t="shared" si="7"/>
        <v>0</v>
      </c>
      <c r="G91" s="148"/>
      <c r="H91" s="148"/>
      <c r="I91" s="126">
        <f t="shared" si="8"/>
        <v>0</v>
      </c>
      <c r="J91" s="125">
        <f t="shared" si="9"/>
        <v>0</v>
      </c>
      <c r="K91" s="149"/>
      <c r="L91" s="149"/>
      <c r="M91" s="149"/>
      <c r="N91" s="149"/>
      <c r="O91" s="126">
        <f t="shared" si="10"/>
        <v>0</v>
      </c>
      <c r="P91" s="148"/>
      <c r="Q91" s="135">
        <f t="shared" si="11"/>
        <v>0</v>
      </c>
      <c r="R91" s="135">
        <f t="shared" si="12"/>
        <v>0</v>
      </c>
      <c r="S91" s="135">
        <f t="shared" si="13"/>
        <v>0</v>
      </c>
      <c r="T91" s="135">
        <f t="shared" si="14"/>
        <v>0</v>
      </c>
      <c r="U91" s="2"/>
      <c r="V91" s="2"/>
      <c r="W91" s="2"/>
      <c r="X91" s="2"/>
      <c r="Y91" s="138"/>
      <c r="Z91" s="138"/>
      <c r="AB91" s="138"/>
      <c r="AC91" s="138"/>
      <c r="AD91" s="138"/>
      <c r="AE91" s="138"/>
      <c r="AF91" s="138"/>
      <c r="AG91" s="2"/>
      <c r="AH91" s="2"/>
      <c r="AI91" s="2"/>
      <c r="AJ91" s="2"/>
      <c r="AK91" s="2"/>
      <c r="AL91" s="2"/>
    </row>
    <row r="92" ht="18.75" customHeight="1">
      <c r="A92" s="146"/>
      <c r="B92" s="152"/>
      <c r="C92" s="124"/>
      <c r="D92" s="124"/>
      <c r="E92" s="123">
        <f t="shared" si="6"/>
        <v>0</v>
      </c>
      <c r="F92" s="125">
        <f t="shared" si="7"/>
        <v>0</v>
      </c>
      <c r="G92" s="148"/>
      <c r="H92" s="148"/>
      <c r="I92" s="126">
        <f t="shared" si="8"/>
        <v>0</v>
      </c>
      <c r="J92" s="125">
        <f t="shared" si="9"/>
        <v>0</v>
      </c>
      <c r="K92" s="149"/>
      <c r="L92" s="149"/>
      <c r="M92" s="149"/>
      <c r="N92" s="149"/>
      <c r="O92" s="126">
        <f t="shared" si="10"/>
        <v>0</v>
      </c>
      <c r="P92" s="148"/>
      <c r="Q92" s="135">
        <f t="shared" si="11"/>
        <v>0</v>
      </c>
      <c r="R92" s="135">
        <f t="shared" si="12"/>
        <v>0</v>
      </c>
      <c r="S92" s="135">
        <f t="shared" si="13"/>
        <v>0</v>
      </c>
      <c r="T92" s="135">
        <f t="shared" si="14"/>
        <v>0</v>
      </c>
      <c r="U92" s="2"/>
      <c r="V92" s="2"/>
      <c r="W92" s="2"/>
      <c r="X92" s="2"/>
      <c r="Y92" s="138"/>
      <c r="Z92" s="138"/>
      <c r="AB92" s="138"/>
      <c r="AC92" s="138"/>
      <c r="AD92" s="138"/>
      <c r="AE92" s="138"/>
      <c r="AF92" s="138"/>
      <c r="AG92" s="2"/>
      <c r="AH92" s="2"/>
      <c r="AI92" s="2"/>
      <c r="AJ92" s="2"/>
      <c r="AK92" s="2"/>
      <c r="AL92" s="2"/>
    </row>
    <row r="93" ht="18.75" customHeight="1">
      <c r="A93" s="146"/>
      <c r="B93" s="152"/>
      <c r="C93" s="124"/>
      <c r="D93" s="124"/>
      <c r="E93" s="123">
        <f t="shared" si="6"/>
        <v>0</v>
      </c>
      <c r="F93" s="125">
        <f t="shared" si="7"/>
        <v>0</v>
      </c>
      <c r="G93" s="148"/>
      <c r="H93" s="148"/>
      <c r="I93" s="126">
        <f t="shared" si="8"/>
        <v>0</v>
      </c>
      <c r="J93" s="125">
        <f t="shared" si="9"/>
        <v>0</v>
      </c>
      <c r="K93" s="149"/>
      <c r="L93" s="149"/>
      <c r="M93" s="149"/>
      <c r="N93" s="149"/>
      <c r="O93" s="126">
        <f t="shared" si="10"/>
        <v>0</v>
      </c>
      <c r="P93" s="148"/>
      <c r="Q93" s="135">
        <f t="shared" si="11"/>
        <v>0</v>
      </c>
      <c r="R93" s="135">
        <f t="shared" si="12"/>
        <v>0</v>
      </c>
      <c r="S93" s="135">
        <f t="shared" si="13"/>
        <v>0</v>
      </c>
      <c r="T93" s="135">
        <f t="shared" si="14"/>
        <v>0</v>
      </c>
      <c r="U93" s="2"/>
      <c r="V93" s="2"/>
      <c r="W93" s="2"/>
      <c r="X93" s="2"/>
      <c r="Y93" s="138"/>
      <c r="Z93" s="138"/>
      <c r="AB93" s="138"/>
      <c r="AC93" s="138"/>
      <c r="AD93" s="138"/>
      <c r="AE93" s="138"/>
      <c r="AF93" s="138"/>
      <c r="AG93" s="2"/>
      <c r="AH93" s="2"/>
      <c r="AI93" s="2"/>
      <c r="AJ93" s="2"/>
      <c r="AK93" s="2"/>
      <c r="AL93" s="2"/>
    </row>
    <row r="94" ht="36.75" customHeight="1">
      <c r="A94" s="2"/>
      <c r="B94" s="152"/>
      <c r="C94" s="171" t="str">
        <f t="shared" ref="C94:D94" si="15">C27</f>
        <v>CO1</v>
      </c>
      <c r="D94" s="171" t="str">
        <f t="shared" si="15"/>
        <v>CO2</v>
      </c>
      <c r="E94" s="172"/>
      <c r="F94" s="172"/>
      <c r="G94" s="171" t="str">
        <f t="shared" ref="G94:H94" si="16">G27</f>
        <v>CO4</v>
      </c>
      <c r="H94" s="171" t="str">
        <f t="shared" si="16"/>
        <v>CO5</v>
      </c>
      <c r="I94" s="172"/>
      <c r="J94" s="172"/>
      <c r="K94" s="171" t="str">
        <f t="shared" ref="K94:N94" si="17">K27</f>
        <v>CO1</v>
      </c>
      <c r="L94" s="171" t="str">
        <f t="shared" si="17"/>
        <v>CO2</v>
      </c>
      <c r="M94" s="171" t="str">
        <f t="shared" si="17"/>
        <v>CO3</v>
      </c>
      <c r="N94" s="171" t="str">
        <f t="shared" si="17"/>
        <v>CO4</v>
      </c>
      <c r="O94" s="37">
        <f>COUNTIF($O$29:$O$93,"&gt;=4.5")</f>
        <v>0</v>
      </c>
      <c r="P94" s="173" t="s">
        <v>139</v>
      </c>
      <c r="Q94" s="174" t="s">
        <v>8</v>
      </c>
      <c r="R94" s="174" t="s">
        <v>9</v>
      </c>
      <c r="S94" s="174" t="s">
        <v>11</v>
      </c>
      <c r="T94" s="174" t="s">
        <v>12</v>
      </c>
      <c r="U94" s="2"/>
      <c r="V94" s="2"/>
      <c r="W94" s="2"/>
      <c r="X94" s="2"/>
      <c r="Y94" s="172"/>
      <c r="Z94" s="172"/>
      <c r="AB94" s="172"/>
      <c r="AC94" s="172"/>
      <c r="AD94" s="172"/>
      <c r="AE94" s="172"/>
      <c r="AF94" s="172"/>
      <c r="AG94" s="2"/>
      <c r="AH94" s="2"/>
      <c r="AI94" s="2"/>
      <c r="AJ94" s="2"/>
      <c r="AK94" s="2"/>
      <c r="AL94" s="2"/>
    </row>
    <row r="95" ht="36.75" customHeight="1">
      <c r="A95" s="2"/>
      <c r="B95" s="175" t="s">
        <v>140</v>
      </c>
      <c r="C95" s="37">
        <f t="shared" ref="C95:D95" si="18">COUNT($A$29:$A$93)</f>
        <v>0</v>
      </c>
      <c r="D95" s="37">
        <f t="shared" si="18"/>
        <v>0</v>
      </c>
      <c r="E95" s="49"/>
      <c r="F95" s="49"/>
      <c r="G95" s="37">
        <f t="shared" ref="G95:H95" si="19">COUNT($A$29:$A$93)</f>
        <v>0</v>
      </c>
      <c r="H95" s="37">
        <f t="shared" si="19"/>
        <v>0</v>
      </c>
      <c r="I95" s="49"/>
      <c r="J95" s="49"/>
      <c r="K95" s="37">
        <f t="shared" ref="K95:N95" si="20">COUNT($A$29:$A$93)</f>
        <v>0</v>
      </c>
      <c r="L95" s="37">
        <f t="shared" si="20"/>
        <v>0</v>
      </c>
      <c r="M95" s="37">
        <f t="shared" si="20"/>
        <v>0</v>
      </c>
      <c r="N95" s="37">
        <f t="shared" si="20"/>
        <v>0</v>
      </c>
      <c r="O95" s="176" t="s">
        <v>142</v>
      </c>
      <c r="P95" s="37">
        <f t="shared" ref="P95:T95" si="21">COUNT($A$29:$A$93)</f>
        <v>0</v>
      </c>
      <c r="Q95" s="37">
        <f t="shared" si="21"/>
        <v>0</v>
      </c>
      <c r="R95" s="37">
        <f t="shared" si="21"/>
        <v>0</v>
      </c>
      <c r="S95" s="37">
        <f t="shared" si="21"/>
        <v>0</v>
      </c>
      <c r="T95" s="37">
        <f t="shared" si="21"/>
        <v>0</v>
      </c>
      <c r="U95" s="2"/>
      <c r="V95" s="2"/>
      <c r="W95" s="2"/>
      <c r="X95" s="2"/>
      <c r="Y95" s="49"/>
      <c r="Z95" s="49"/>
      <c r="AA95" s="49"/>
      <c r="AB95" s="49"/>
      <c r="AC95" s="49"/>
      <c r="AD95" s="49"/>
      <c r="AE95" s="49"/>
      <c r="AF95" s="49"/>
      <c r="AG95" s="2"/>
      <c r="AH95" s="2"/>
      <c r="AI95" s="2"/>
      <c r="AJ95" s="2"/>
      <c r="AK95" s="2"/>
      <c r="AL95" s="2"/>
    </row>
    <row r="96" ht="35.25" customHeight="1">
      <c r="A96" s="2"/>
      <c r="B96" s="175" t="s">
        <v>144</v>
      </c>
      <c r="C96" s="37">
        <f t="shared" ref="C96:D96" si="22">COUNTIF(C29:C93,"&gt;="&amp;(C$28*$AG$16/100))</f>
        <v>0</v>
      </c>
      <c r="D96" s="37">
        <f t="shared" si="22"/>
        <v>0</v>
      </c>
      <c r="E96" s="49"/>
      <c r="F96" s="49"/>
      <c r="G96" s="37">
        <f t="shared" ref="G96:H96" si="23">COUNTIF(G29:G93,"&gt;="&amp;(G$28*$AG$16/100))</f>
        <v>0</v>
      </c>
      <c r="H96" s="37">
        <f t="shared" si="23"/>
        <v>0</v>
      </c>
      <c r="I96" s="49"/>
      <c r="J96" s="49"/>
      <c r="K96" s="37">
        <f t="shared" ref="K96:N96" si="24">COUNTIF(K29:K93,"&gt;="&amp;(K$28*$AG$16/100))</f>
        <v>0</v>
      </c>
      <c r="L96" s="37">
        <f t="shared" si="24"/>
        <v>0</v>
      </c>
      <c r="M96" s="37">
        <f t="shared" si="24"/>
        <v>0</v>
      </c>
      <c r="N96" s="37">
        <f t="shared" si="24"/>
        <v>0</v>
      </c>
      <c r="O96" s="177" t="s">
        <v>147</v>
      </c>
      <c r="P96" s="37">
        <f>COUNTIF(P29:P93,"&gt;="&amp;$P$28*$AG$16/100)</f>
        <v>0</v>
      </c>
      <c r="Q96" s="37">
        <f t="shared" ref="Q96:T96" si="25">COUNTIF(Q29:Q93,"&gt;="&amp;$AG$16)</f>
        <v>0</v>
      </c>
      <c r="R96" s="37">
        <f t="shared" si="25"/>
        <v>0</v>
      </c>
      <c r="S96" s="37">
        <f t="shared" si="25"/>
        <v>0</v>
      </c>
      <c r="T96" s="37">
        <f t="shared" si="25"/>
        <v>0</v>
      </c>
      <c r="U96" s="2"/>
      <c r="V96" s="2"/>
      <c r="W96" s="2"/>
      <c r="X96" s="2"/>
      <c r="Y96" s="49"/>
      <c r="Z96" s="49"/>
      <c r="AA96" s="49"/>
      <c r="AB96" s="49"/>
      <c r="AC96" s="49"/>
      <c r="AD96" s="49"/>
      <c r="AE96" s="49"/>
      <c r="AF96" s="49"/>
      <c r="AG96" s="2"/>
      <c r="AH96" s="2"/>
      <c r="AI96" s="2"/>
      <c r="AJ96" s="2"/>
      <c r="AK96" s="2"/>
      <c r="AL96" s="2"/>
    </row>
    <row r="97" ht="30.75" customHeight="1">
      <c r="A97" s="2"/>
      <c r="B97" s="175" t="s">
        <v>149</v>
      </c>
      <c r="C97" s="178" t="str">
        <f t="shared" ref="C97:D97" si="26">C96*100/C95</f>
        <v>#DIV/0!</v>
      </c>
      <c r="D97" s="178" t="str">
        <f t="shared" si="26"/>
        <v>#DIV/0!</v>
      </c>
      <c r="E97" s="49"/>
      <c r="F97" s="49"/>
      <c r="G97" s="178" t="str">
        <f t="shared" ref="G97:H97" si="27">G96*100/G95</f>
        <v>#DIV/0!</v>
      </c>
      <c r="H97" s="178" t="str">
        <f t="shared" si="27"/>
        <v>#DIV/0!</v>
      </c>
      <c r="I97" s="49"/>
      <c r="J97" s="49"/>
      <c r="K97" s="178" t="str">
        <f t="shared" ref="K97:N97" si="28">K96*100/K95</f>
        <v>#DIV/0!</v>
      </c>
      <c r="L97" s="178" t="str">
        <f t="shared" si="28"/>
        <v>#DIV/0!</v>
      </c>
      <c r="M97" s="178" t="str">
        <f t="shared" si="28"/>
        <v>#DIV/0!</v>
      </c>
      <c r="N97" s="178" t="str">
        <f t="shared" si="28"/>
        <v>#DIV/0!</v>
      </c>
      <c r="O97" s="37" t="s">
        <v>149</v>
      </c>
      <c r="P97" s="178" t="str">
        <f t="shared" ref="P97:T97" si="29">P96*100/P95</f>
        <v>#DIV/0!</v>
      </c>
      <c r="Q97" s="178" t="str">
        <f t="shared" si="29"/>
        <v>#DIV/0!</v>
      </c>
      <c r="R97" s="178" t="str">
        <f t="shared" si="29"/>
        <v>#DIV/0!</v>
      </c>
      <c r="S97" s="178" t="str">
        <f t="shared" si="29"/>
        <v>#DIV/0!</v>
      </c>
      <c r="T97" s="178" t="str">
        <f t="shared" si="29"/>
        <v>#DIV/0!</v>
      </c>
      <c r="U97" s="2"/>
      <c r="V97" s="2"/>
      <c r="W97" s="2"/>
      <c r="X97" s="2"/>
      <c r="Y97" s="179"/>
      <c r="Z97" s="179"/>
      <c r="AA97" s="179"/>
      <c r="AB97" s="179"/>
      <c r="AC97" s="179"/>
      <c r="AD97" s="179"/>
      <c r="AE97" s="179"/>
      <c r="AF97" s="179"/>
      <c r="AG97" s="2"/>
      <c r="AH97" s="2"/>
      <c r="AI97" s="2"/>
      <c r="AJ97" s="2"/>
      <c r="AK97" s="2"/>
      <c r="AL97" s="2"/>
    </row>
    <row r="98" ht="24.0" customHeight="1">
      <c r="A98" s="2"/>
      <c r="B98" s="180" t="s">
        <v>152</v>
      </c>
      <c r="C98" s="37" t="str">
        <f t="shared" ref="C98:D98" si="30">IF(C97&gt;=$AE$19,3,IF(C97&gt;=$AE$20,2,1))</f>
        <v>#DIV/0!</v>
      </c>
      <c r="D98" s="37" t="str">
        <f t="shared" si="30"/>
        <v>#DIV/0!</v>
      </c>
      <c r="E98" s="38"/>
      <c r="F98" s="38"/>
      <c r="G98" s="37" t="str">
        <f t="shared" ref="G98:H98" si="31">IF(G97&gt;=$AE$19,3,IF(G97&gt;=$AE$20,2,1))</f>
        <v>#DIV/0!</v>
      </c>
      <c r="H98" s="37" t="str">
        <f t="shared" si="31"/>
        <v>#DIV/0!</v>
      </c>
      <c r="I98" s="38"/>
      <c r="J98" s="38"/>
      <c r="K98" s="37" t="str">
        <f t="shared" ref="K98:N98" si="32">IF(K97&gt;=$AE$19,3,IF(K97&gt;=$AE$20,2,1))</f>
        <v>#DIV/0!</v>
      </c>
      <c r="L98" s="37" t="str">
        <f t="shared" si="32"/>
        <v>#DIV/0!</v>
      </c>
      <c r="M98" s="37" t="str">
        <f t="shared" si="32"/>
        <v>#DIV/0!</v>
      </c>
      <c r="N98" s="37" t="str">
        <f t="shared" si="32"/>
        <v>#DIV/0!</v>
      </c>
      <c r="O98" s="177" t="s">
        <v>36</v>
      </c>
      <c r="P98" s="37" t="str">
        <f t="shared" ref="P98:T98" si="33">IF(P97&gt;=$AE$19,3,IF(P97&gt;=$AE$20,2,1))</f>
        <v>#DIV/0!</v>
      </c>
      <c r="Q98" s="181" t="str">
        <f t="shared" si="33"/>
        <v>#DIV/0!</v>
      </c>
      <c r="R98" s="181" t="str">
        <f t="shared" si="33"/>
        <v>#DIV/0!</v>
      </c>
      <c r="S98" s="181" t="str">
        <f t="shared" si="33"/>
        <v>#DIV/0!</v>
      </c>
      <c r="T98" s="181" t="str">
        <f t="shared" si="33"/>
        <v>#DIV/0!</v>
      </c>
      <c r="U98" s="2"/>
      <c r="V98" s="2"/>
      <c r="W98" s="2"/>
      <c r="X98" s="2"/>
      <c r="Y98" s="49"/>
      <c r="Z98" s="49"/>
      <c r="AA98" s="49"/>
      <c r="AB98" s="49"/>
      <c r="AC98" s="49"/>
      <c r="AD98" s="49"/>
      <c r="AE98" s="49"/>
      <c r="AF98" s="49"/>
      <c r="AG98" s="2"/>
      <c r="AH98" s="2"/>
      <c r="AI98" s="2"/>
      <c r="AJ98" s="2"/>
      <c r="AK98" s="2"/>
      <c r="AL98" s="2"/>
    </row>
    <row r="99" ht="15.75" customHeight="1">
      <c r="A99" s="2"/>
      <c r="B99" s="2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2"/>
      <c r="B100" s="2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2"/>
      <c r="B101" s="2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4.25" customHeight="1">
      <c r="A102" s="2"/>
      <c r="B102" s="2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40.5" customHeight="1">
      <c r="A103" s="2"/>
      <c r="B103" s="2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4.25" customHeight="1">
      <c r="A104" s="2"/>
      <c r="B104" s="2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4.25" customHeight="1">
      <c r="A105" s="2"/>
      <c r="B105" s="2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4.25" customHeight="1">
      <c r="A106" s="2"/>
      <c r="B106" s="2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4.25" customHeight="1">
      <c r="A107" s="2"/>
      <c r="B107" s="2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4.25" customHeight="1">
      <c r="A108" s="2"/>
      <c r="B108" s="2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4.25" customHeight="1">
      <c r="A109" s="2"/>
      <c r="B109" s="2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4.25" customHeight="1">
      <c r="A110" s="2"/>
      <c r="B110" s="2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4.25" customHeight="1">
      <c r="A111" s="2"/>
      <c r="B111" s="2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4.25" customHeight="1">
      <c r="A112" s="2"/>
      <c r="B112" s="2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4.25" customHeight="1">
      <c r="A113" s="2"/>
      <c r="B113" s="2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4.25" customHeight="1">
      <c r="A114" s="2"/>
      <c r="B114" s="2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4.25" customHeight="1">
      <c r="A115" s="2"/>
      <c r="B115" s="2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4.25" customHeight="1">
      <c r="A116" s="2"/>
      <c r="B116" s="2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4.25" customHeight="1">
      <c r="A117" s="2"/>
      <c r="B117" s="2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4.25" customHeight="1">
      <c r="A118" s="2"/>
      <c r="B118" s="2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4.25" customHeight="1">
      <c r="A119" s="2"/>
      <c r="B119" s="2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4.25" customHeight="1">
      <c r="A120" s="2"/>
      <c r="B120" s="2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4.25" customHeight="1">
      <c r="A121" s="2"/>
      <c r="B121" s="2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4.25" customHeight="1">
      <c r="A122" s="2"/>
      <c r="B122" s="2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4.25" customHeight="1">
      <c r="A123" s="2"/>
      <c r="B123" s="2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4.25" customHeight="1">
      <c r="A124" s="2"/>
      <c r="B124" s="2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2"/>
      <c r="B246" s="2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2"/>
      <c r="B247" s="2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2"/>
      <c r="B248" s="2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2"/>
      <c r="B249" s="2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2"/>
      <c r="B250" s="2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2"/>
      <c r="B251" s="2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2"/>
      <c r="B252" s="2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2"/>
      <c r="B253" s="2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2"/>
      <c r="B254" s="2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2"/>
      <c r="B255" s="2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2"/>
      <c r="B256" s="2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5.75" customHeight="1">
      <c r="A257" s="2"/>
      <c r="B257" s="2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5.75" customHeight="1">
      <c r="A258" s="2"/>
      <c r="B258" s="2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5.75" customHeight="1">
      <c r="A259" s="2"/>
      <c r="B259" s="2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5.75" customHeight="1">
      <c r="A260" s="2"/>
      <c r="B260" s="2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5.75" customHeight="1">
      <c r="A261" s="2"/>
      <c r="B261" s="2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5.75" customHeight="1">
      <c r="A262" s="2"/>
      <c r="B262" s="2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5.75" customHeight="1">
      <c r="A263" s="2"/>
      <c r="B263" s="2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5.75" customHeight="1">
      <c r="A264" s="2"/>
      <c r="B264" s="2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5.75" customHeight="1">
      <c r="A265" s="2"/>
      <c r="B265" s="2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5.75" customHeight="1">
      <c r="A266" s="2"/>
      <c r="B266" s="2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5.75" customHeight="1">
      <c r="A267" s="2"/>
      <c r="B267" s="2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5.75" customHeight="1">
      <c r="A268" s="2"/>
      <c r="B268" s="2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5.75" customHeight="1">
      <c r="A269" s="2"/>
      <c r="B269" s="2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>
      <c r="A288" s="2"/>
      <c r="B288" s="2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5.75" customHeight="1">
      <c r="A289" s="2"/>
      <c r="B289" s="2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5.75" customHeight="1">
      <c r="A290" s="2"/>
      <c r="B290" s="2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5.75" customHeight="1">
      <c r="A291" s="2"/>
      <c r="B291" s="2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5.75" customHeight="1">
      <c r="A292" s="2"/>
      <c r="B292" s="2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5.75" customHeight="1">
      <c r="A293" s="2"/>
      <c r="B293" s="2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5.75" customHeight="1">
      <c r="A294" s="2"/>
      <c r="B294" s="2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5.75" customHeight="1">
      <c r="A295" s="2"/>
      <c r="B295" s="2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5.75" customHeight="1">
      <c r="A296" s="2"/>
      <c r="B296" s="2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5.75" customHeight="1">
      <c r="A297" s="2"/>
      <c r="B297" s="2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5.75" customHeight="1">
      <c r="A298" s="2"/>
      <c r="B298" s="2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5.75" customHeight="1">
      <c r="A299" s="2"/>
      <c r="B299" s="2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5.75" customHeight="1">
      <c r="A300" s="2"/>
      <c r="B300" s="2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5.75" customHeight="1">
      <c r="A301" s="2"/>
      <c r="B301" s="2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5.75" customHeight="1">
      <c r="A302" s="2"/>
      <c r="B302" s="2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5.75" customHeight="1">
      <c r="A303" s="2"/>
      <c r="B303" s="2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5.75" customHeight="1">
      <c r="A304" s="2"/>
      <c r="B304" s="2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5.75" customHeight="1">
      <c r="A305" s="2"/>
      <c r="B305" s="2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5.75" customHeight="1">
      <c r="A306" s="2"/>
      <c r="B306" s="2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5.75" customHeight="1">
      <c r="A307" s="2"/>
      <c r="B307" s="2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5.75" customHeight="1">
      <c r="A308" s="2"/>
      <c r="B308" s="2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5.75" customHeight="1">
      <c r="A309" s="2"/>
      <c r="B309" s="2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5.75" customHeight="1">
      <c r="A310" s="2"/>
      <c r="B310" s="2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5.75" customHeight="1">
      <c r="A311" s="2"/>
      <c r="B311" s="2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5.75" customHeight="1">
      <c r="A312" s="2"/>
      <c r="B312" s="2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5.75" customHeight="1">
      <c r="A313" s="2"/>
      <c r="B313" s="2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5.75" customHeight="1">
      <c r="A314" s="2"/>
      <c r="B314" s="2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5.75" customHeight="1">
      <c r="A315" s="2"/>
      <c r="B315" s="2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5.75" customHeight="1">
      <c r="A316" s="2"/>
      <c r="B316" s="2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5.75" customHeight="1">
      <c r="A317" s="2"/>
      <c r="B317" s="2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5.75" customHeight="1">
      <c r="A318" s="2"/>
      <c r="B318" s="2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5.75" customHeight="1">
      <c r="A319" s="2"/>
      <c r="B319" s="2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5.75" customHeight="1">
      <c r="A320" s="2"/>
      <c r="B320" s="2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5.75" customHeight="1">
      <c r="A321" s="2"/>
      <c r="B321" s="2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5.75" customHeight="1">
      <c r="A322" s="2"/>
      <c r="B322" s="2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5.75" customHeight="1">
      <c r="A323" s="2"/>
      <c r="B323" s="2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5.75" customHeight="1">
      <c r="A324" s="2"/>
      <c r="B324" s="2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5.75" customHeight="1">
      <c r="A325" s="2"/>
      <c r="B325" s="2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5.75" customHeight="1">
      <c r="A326" s="2"/>
      <c r="B326" s="2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5.75" customHeight="1">
      <c r="A327" s="2"/>
      <c r="B327" s="2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5.75" customHeight="1">
      <c r="A328" s="2"/>
      <c r="B328" s="2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5.75" customHeight="1">
      <c r="A329" s="2"/>
      <c r="B329" s="2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5.75" customHeight="1">
      <c r="A330" s="2"/>
      <c r="B330" s="2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5.75" customHeight="1">
      <c r="A331" s="2"/>
      <c r="B331" s="2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5.75" customHeight="1">
      <c r="A332" s="2"/>
      <c r="B332" s="2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5.75" customHeight="1">
      <c r="A333" s="2"/>
      <c r="B333" s="2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5.75" customHeight="1">
      <c r="A334" s="2"/>
      <c r="B334" s="2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5.75" customHeight="1">
      <c r="A335" s="2"/>
      <c r="B335" s="2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5.75" customHeight="1">
      <c r="A336" s="2"/>
      <c r="B336" s="2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5.75" customHeight="1">
      <c r="A337" s="2"/>
      <c r="B337" s="2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5.75" customHeight="1">
      <c r="A338" s="2"/>
      <c r="B338" s="2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5.75" customHeight="1">
      <c r="A339" s="2"/>
      <c r="B339" s="2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5.75" customHeight="1">
      <c r="A340" s="2"/>
      <c r="B340" s="2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5.75" customHeight="1">
      <c r="A341" s="2"/>
      <c r="B341" s="2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5.75" customHeight="1">
      <c r="A342" s="2"/>
      <c r="B342" s="2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5.75" customHeight="1">
      <c r="A343" s="2"/>
      <c r="B343" s="2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5.75" customHeight="1">
      <c r="A344" s="2"/>
      <c r="B344" s="2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5.75" customHeight="1">
      <c r="A345" s="2"/>
      <c r="B345" s="2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5.75" customHeight="1">
      <c r="A346" s="2"/>
      <c r="B346" s="2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5.75" customHeight="1">
      <c r="A347" s="2"/>
      <c r="B347" s="2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5.75" customHeight="1">
      <c r="A348" s="2"/>
      <c r="B348" s="2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5.75" customHeight="1">
      <c r="A349" s="2"/>
      <c r="B349" s="2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5.75" customHeight="1">
      <c r="A350" s="2"/>
      <c r="B350" s="2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5.75" customHeight="1">
      <c r="A351" s="2"/>
      <c r="B351" s="2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5.75" customHeight="1">
      <c r="A352" s="2"/>
      <c r="B352" s="2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5.75" customHeight="1">
      <c r="A353" s="2"/>
      <c r="B353" s="2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5.75" customHeight="1">
      <c r="A354" s="2"/>
      <c r="B354" s="2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5.75" customHeight="1">
      <c r="A355" s="2"/>
      <c r="B355" s="2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5.75" customHeight="1">
      <c r="A356" s="2"/>
      <c r="B356" s="2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5.75" customHeight="1">
      <c r="A357" s="2"/>
      <c r="B357" s="2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5.75" customHeight="1">
      <c r="A358" s="2"/>
      <c r="B358" s="2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5.75" customHeight="1">
      <c r="A359" s="2"/>
      <c r="B359" s="2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5.75" customHeight="1">
      <c r="A360" s="2"/>
      <c r="B360" s="2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5.75" customHeight="1">
      <c r="A361" s="2"/>
      <c r="B361" s="2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5.75" customHeight="1">
      <c r="A362" s="2"/>
      <c r="B362" s="2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5.75" customHeight="1">
      <c r="A363" s="2"/>
      <c r="B363" s="2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5.75" customHeight="1">
      <c r="A364" s="2"/>
      <c r="B364" s="2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5.75" customHeight="1">
      <c r="A365" s="2"/>
      <c r="B365" s="2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5.75" customHeight="1">
      <c r="A366" s="2"/>
      <c r="B366" s="2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5.75" customHeight="1">
      <c r="A367" s="2"/>
      <c r="B367" s="2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5.75" customHeight="1">
      <c r="A368" s="2"/>
      <c r="B368" s="2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5.75" customHeight="1">
      <c r="A369" s="2"/>
      <c r="B369" s="2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5.75" customHeight="1">
      <c r="A370" s="2"/>
      <c r="B370" s="2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5.75" customHeight="1">
      <c r="A371" s="2"/>
      <c r="B371" s="2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5.75" customHeight="1">
      <c r="A372" s="2"/>
      <c r="B372" s="2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5.75" customHeight="1">
      <c r="A373" s="2"/>
      <c r="B373" s="2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5.75" customHeight="1">
      <c r="A374" s="2"/>
      <c r="B374" s="2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5.75" customHeight="1">
      <c r="A375" s="2"/>
      <c r="B375" s="2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5.75" customHeight="1">
      <c r="A376" s="2"/>
      <c r="B376" s="2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5.75" customHeight="1">
      <c r="A377" s="2"/>
      <c r="B377" s="2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5.75" customHeight="1">
      <c r="A378" s="2"/>
      <c r="B378" s="2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5.75" customHeight="1">
      <c r="A379" s="2"/>
      <c r="B379" s="2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5.75" customHeight="1">
      <c r="A380" s="2"/>
      <c r="B380" s="2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5.75" customHeight="1">
      <c r="A381" s="2"/>
      <c r="B381" s="2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5.75" customHeight="1">
      <c r="A382" s="2"/>
      <c r="B382" s="2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5.75" customHeight="1">
      <c r="A383" s="2"/>
      <c r="B383" s="2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5.75" customHeight="1">
      <c r="A384" s="2"/>
      <c r="B384" s="2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5.75" customHeight="1">
      <c r="A385" s="2"/>
      <c r="B385" s="2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5.75" customHeight="1">
      <c r="A386" s="2"/>
      <c r="B386" s="2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5.75" customHeight="1">
      <c r="A387" s="2"/>
      <c r="B387" s="2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5.75" customHeight="1">
      <c r="A388" s="2"/>
      <c r="B388" s="2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5.75" customHeight="1">
      <c r="A389" s="2"/>
      <c r="B389" s="2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5.75" customHeight="1">
      <c r="A390" s="2"/>
      <c r="B390" s="2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5.75" customHeight="1">
      <c r="A391" s="2"/>
      <c r="B391" s="2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5.75" customHeight="1">
      <c r="A392" s="2"/>
      <c r="B392" s="2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5.75" customHeight="1">
      <c r="A393" s="2"/>
      <c r="B393" s="2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5.75" customHeight="1">
      <c r="A394" s="2"/>
      <c r="B394" s="2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5.75" customHeight="1">
      <c r="A395" s="2"/>
      <c r="B395" s="2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5.75" customHeight="1">
      <c r="A396" s="2"/>
      <c r="B396" s="2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5.75" customHeight="1">
      <c r="A397" s="2"/>
      <c r="B397" s="2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5.75" customHeight="1">
      <c r="A398" s="2"/>
      <c r="B398" s="2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5.75" customHeight="1">
      <c r="A399" s="2"/>
      <c r="B399" s="2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5.75" customHeight="1">
      <c r="A400" s="2"/>
      <c r="B400" s="2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5.75" customHeight="1">
      <c r="A401" s="2"/>
      <c r="B401" s="2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5.75" customHeight="1">
      <c r="A402" s="2"/>
      <c r="B402" s="2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5.75" customHeight="1">
      <c r="A403" s="2"/>
      <c r="B403" s="2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5.75" customHeight="1">
      <c r="A404" s="2"/>
      <c r="B404" s="2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5.75" customHeight="1">
      <c r="A405" s="2"/>
      <c r="B405" s="2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5.75" customHeight="1">
      <c r="A406" s="2"/>
      <c r="B406" s="2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5.75" customHeight="1">
      <c r="A407" s="2"/>
      <c r="B407" s="2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5.75" customHeight="1">
      <c r="A408" s="2"/>
      <c r="B408" s="2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5.75" customHeight="1">
      <c r="A409" s="2"/>
      <c r="B409" s="2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5.75" customHeight="1">
      <c r="A410" s="2"/>
      <c r="B410" s="2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5.75" customHeight="1">
      <c r="A411" s="2"/>
      <c r="B411" s="2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5.75" customHeight="1">
      <c r="A412" s="2"/>
      <c r="B412" s="2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5.75" customHeight="1">
      <c r="A413" s="2"/>
      <c r="B413" s="2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5.75" customHeight="1">
      <c r="A414" s="2"/>
      <c r="B414" s="2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5.75" customHeight="1">
      <c r="A415" s="2"/>
      <c r="B415" s="2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5.75" customHeight="1">
      <c r="A416" s="2"/>
      <c r="B416" s="2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5.75" customHeight="1">
      <c r="A417" s="2"/>
      <c r="B417" s="2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5.75" customHeight="1">
      <c r="A418" s="2"/>
      <c r="B418" s="2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5.75" customHeight="1">
      <c r="A419" s="2"/>
      <c r="B419" s="2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5.75" customHeight="1">
      <c r="A420" s="2"/>
      <c r="B420" s="2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5.75" customHeight="1">
      <c r="A421" s="2"/>
      <c r="B421" s="2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5.75" customHeight="1">
      <c r="A422" s="2"/>
      <c r="B422" s="2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5.75" customHeight="1">
      <c r="A423" s="2"/>
      <c r="B423" s="2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5.75" customHeight="1">
      <c r="A424" s="2"/>
      <c r="B424" s="2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5.75" customHeight="1">
      <c r="A425" s="2"/>
      <c r="B425" s="2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5.75" customHeight="1">
      <c r="A426" s="2"/>
      <c r="B426" s="2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5.75" customHeight="1">
      <c r="A427" s="2"/>
      <c r="B427" s="2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5.75" customHeight="1">
      <c r="A428" s="2"/>
      <c r="B428" s="2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5.75" customHeight="1">
      <c r="A429" s="2"/>
      <c r="B429" s="2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5.75" customHeight="1">
      <c r="A430" s="2"/>
      <c r="B430" s="2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5.75" customHeight="1">
      <c r="A431" s="2"/>
      <c r="B431" s="2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5.75" customHeight="1">
      <c r="A432" s="2"/>
      <c r="B432" s="2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5.75" customHeight="1">
      <c r="A433" s="2"/>
      <c r="B433" s="2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5.75" customHeight="1">
      <c r="A434" s="2"/>
      <c r="B434" s="2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5.75" customHeight="1">
      <c r="A435" s="2"/>
      <c r="B435" s="2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5.75" customHeight="1">
      <c r="A436" s="2"/>
      <c r="B436" s="2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5.75" customHeight="1">
      <c r="A437" s="2"/>
      <c r="B437" s="2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5.75" customHeight="1">
      <c r="A438" s="2"/>
      <c r="B438" s="2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5.75" customHeight="1">
      <c r="A439" s="2"/>
      <c r="B439" s="2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5.75" customHeight="1">
      <c r="A440" s="2"/>
      <c r="B440" s="2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5.75" customHeight="1">
      <c r="A441" s="2"/>
      <c r="B441" s="2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5.75" customHeight="1">
      <c r="A442" s="2"/>
      <c r="B442" s="2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5.75" customHeight="1">
      <c r="A443" s="2"/>
      <c r="B443" s="2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5.75" customHeight="1">
      <c r="A444" s="2"/>
      <c r="B444" s="2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5.75" customHeight="1">
      <c r="A445" s="2"/>
      <c r="B445" s="2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5.75" customHeight="1">
      <c r="A446" s="2"/>
      <c r="B446" s="2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5.75" customHeight="1">
      <c r="A447" s="2"/>
      <c r="B447" s="2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5.75" customHeight="1">
      <c r="A448" s="2"/>
      <c r="B448" s="2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5.75" customHeight="1">
      <c r="A449" s="2"/>
      <c r="B449" s="2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5.75" customHeight="1">
      <c r="A450" s="2"/>
      <c r="B450" s="2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5.75" customHeight="1">
      <c r="A451" s="2"/>
      <c r="B451" s="2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5.75" customHeight="1">
      <c r="A452" s="2"/>
      <c r="B452" s="2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5.75" customHeight="1">
      <c r="A453" s="2"/>
      <c r="B453" s="2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5.75" customHeight="1">
      <c r="A454" s="2"/>
      <c r="B454" s="2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5.75" customHeight="1">
      <c r="A455" s="2"/>
      <c r="B455" s="2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5.75" customHeight="1">
      <c r="A456" s="2"/>
      <c r="B456" s="2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5.75" customHeight="1">
      <c r="A457" s="2"/>
      <c r="B457" s="2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5.75" customHeight="1">
      <c r="A458" s="2"/>
      <c r="B458" s="2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5.75" customHeight="1">
      <c r="A459" s="2"/>
      <c r="B459" s="2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5.75" customHeight="1">
      <c r="A460" s="2"/>
      <c r="B460" s="2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5.75" customHeight="1">
      <c r="A461" s="2"/>
      <c r="B461" s="2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5.75" customHeight="1">
      <c r="A462" s="2"/>
      <c r="B462" s="2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5.75" customHeight="1">
      <c r="A463" s="2"/>
      <c r="B463" s="2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5.75" customHeight="1">
      <c r="A464" s="2"/>
      <c r="B464" s="2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5.75" customHeight="1">
      <c r="A465" s="2"/>
      <c r="B465" s="2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5.75" customHeight="1">
      <c r="A466" s="2"/>
      <c r="B466" s="2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5.75" customHeight="1">
      <c r="A467" s="2"/>
      <c r="B467" s="2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5.75" customHeight="1">
      <c r="A468" s="2"/>
      <c r="B468" s="2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5.75" customHeight="1">
      <c r="A469" s="2"/>
      <c r="B469" s="2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5.75" customHeight="1">
      <c r="A470" s="2"/>
      <c r="B470" s="2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5.75" customHeight="1">
      <c r="A471" s="2"/>
      <c r="B471" s="2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5.75" customHeight="1">
      <c r="A472" s="2"/>
      <c r="B472" s="2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5.75" customHeight="1">
      <c r="A473" s="2"/>
      <c r="B473" s="2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5.75" customHeight="1">
      <c r="A474" s="2"/>
      <c r="B474" s="2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5.75" customHeight="1">
      <c r="A475" s="2"/>
      <c r="B475" s="2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5.75" customHeight="1">
      <c r="A476" s="2"/>
      <c r="B476" s="2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5.75" customHeight="1">
      <c r="A477" s="2"/>
      <c r="B477" s="2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5.75" customHeight="1">
      <c r="A478" s="2"/>
      <c r="B478" s="2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5.75" customHeight="1">
      <c r="A479" s="2"/>
      <c r="B479" s="2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5.75" customHeight="1">
      <c r="A480" s="2"/>
      <c r="B480" s="2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5.75" customHeight="1">
      <c r="A481" s="2"/>
      <c r="B481" s="2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5.75" customHeight="1">
      <c r="A482" s="2"/>
      <c r="B482" s="2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5.75" customHeight="1">
      <c r="A483" s="2"/>
      <c r="B483" s="2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5.75" customHeight="1">
      <c r="A484" s="2"/>
      <c r="B484" s="2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5.75" customHeight="1">
      <c r="A485" s="2"/>
      <c r="B485" s="2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5.75" customHeight="1">
      <c r="A486" s="2"/>
      <c r="B486" s="2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5.75" customHeight="1">
      <c r="A487" s="2"/>
      <c r="B487" s="2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5.75" customHeight="1">
      <c r="A488" s="2"/>
      <c r="B488" s="2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5.75" customHeight="1">
      <c r="A489" s="2"/>
      <c r="B489" s="2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5.75" customHeight="1">
      <c r="A490" s="2"/>
      <c r="B490" s="2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5.75" customHeight="1">
      <c r="A491" s="2"/>
      <c r="B491" s="2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5.75" customHeight="1">
      <c r="A492" s="2"/>
      <c r="B492" s="2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5.75" customHeight="1">
      <c r="A493" s="2"/>
      <c r="B493" s="2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5.75" customHeight="1">
      <c r="A494" s="2"/>
      <c r="B494" s="2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5.75" customHeight="1">
      <c r="A495" s="2"/>
      <c r="B495" s="2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5.75" customHeight="1">
      <c r="A496" s="2"/>
      <c r="B496" s="2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5.75" customHeight="1">
      <c r="A497" s="2"/>
      <c r="B497" s="2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5.75" customHeight="1">
      <c r="A498" s="2"/>
      <c r="B498" s="2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5.75" customHeight="1">
      <c r="A499" s="2"/>
      <c r="B499" s="2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5.75" customHeight="1">
      <c r="A500" s="2"/>
      <c r="B500" s="2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5.75" customHeight="1">
      <c r="A501" s="2"/>
      <c r="B501" s="2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5.75" customHeight="1">
      <c r="A502" s="2"/>
      <c r="B502" s="2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5.75" customHeight="1">
      <c r="A503" s="2"/>
      <c r="B503" s="2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5.75" customHeight="1">
      <c r="A504" s="2"/>
      <c r="B504" s="2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5.75" customHeight="1">
      <c r="A505" s="2"/>
      <c r="B505" s="2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5.75" customHeight="1">
      <c r="A506" s="2"/>
      <c r="B506" s="2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5.75" customHeight="1">
      <c r="A507" s="2"/>
      <c r="B507" s="2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5.75" customHeight="1">
      <c r="A508" s="2"/>
      <c r="B508" s="2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5.75" customHeight="1">
      <c r="A509" s="2"/>
      <c r="B509" s="2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5.75" customHeight="1">
      <c r="A510" s="2"/>
      <c r="B510" s="2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5.75" customHeight="1">
      <c r="A511" s="2"/>
      <c r="B511" s="2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5.75" customHeight="1">
      <c r="A512" s="2"/>
      <c r="B512" s="2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5.75" customHeight="1">
      <c r="A513" s="2"/>
      <c r="B513" s="2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5.75" customHeight="1">
      <c r="A514" s="2"/>
      <c r="B514" s="2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5.75" customHeight="1">
      <c r="A515" s="2"/>
      <c r="B515" s="2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5.75" customHeight="1">
      <c r="A516" s="2"/>
      <c r="B516" s="2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5.75" customHeight="1">
      <c r="A517" s="2"/>
      <c r="B517" s="2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5.75" customHeight="1">
      <c r="A518" s="2"/>
      <c r="B518" s="2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5.75" customHeight="1">
      <c r="A519" s="2"/>
      <c r="B519" s="2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5.75" customHeight="1">
      <c r="A520" s="2"/>
      <c r="B520" s="2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5.75" customHeight="1">
      <c r="A521" s="2"/>
      <c r="B521" s="2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5.75" customHeight="1">
      <c r="A522" s="2"/>
      <c r="B522" s="2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5.75" customHeight="1">
      <c r="A523" s="2"/>
      <c r="B523" s="2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5.75" customHeight="1">
      <c r="A524" s="2"/>
      <c r="B524" s="2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5.75" customHeight="1">
      <c r="A525" s="2"/>
      <c r="B525" s="2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5.75" customHeight="1">
      <c r="A526" s="2"/>
      <c r="B526" s="2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5.75" customHeight="1">
      <c r="A527" s="2"/>
      <c r="B527" s="2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5.75" customHeight="1">
      <c r="A528" s="2"/>
      <c r="B528" s="2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5.75" customHeight="1">
      <c r="A529" s="2"/>
      <c r="B529" s="2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5.75" customHeight="1">
      <c r="A530" s="2"/>
      <c r="B530" s="2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5.75" customHeight="1">
      <c r="A531" s="2"/>
      <c r="B531" s="2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5.75" customHeight="1">
      <c r="A532" s="2"/>
      <c r="B532" s="2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5.75" customHeight="1">
      <c r="A533" s="2"/>
      <c r="B533" s="2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5.75" customHeight="1">
      <c r="A534" s="2"/>
      <c r="B534" s="2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5.75" customHeight="1">
      <c r="A535" s="2"/>
      <c r="B535" s="2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5.75" customHeight="1">
      <c r="A536" s="2"/>
      <c r="B536" s="2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5.75" customHeight="1">
      <c r="A537" s="2"/>
      <c r="B537" s="2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5.75" customHeight="1">
      <c r="A538" s="2"/>
      <c r="B538" s="2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5.75" customHeight="1">
      <c r="A539" s="2"/>
      <c r="B539" s="2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5.75" customHeight="1">
      <c r="A540" s="2"/>
      <c r="B540" s="2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5.75" customHeight="1">
      <c r="A541" s="2"/>
      <c r="B541" s="2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5.75" customHeight="1">
      <c r="A542" s="2"/>
      <c r="B542" s="2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5.75" customHeight="1">
      <c r="A543" s="2"/>
      <c r="B543" s="2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5.75" customHeight="1">
      <c r="A544" s="2"/>
      <c r="B544" s="2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5.75" customHeight="1">
      <c r="A545" s="2"/>
      <c r="B545" s="2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5.75" customHeight="1">
      <c r="A546" s="2"/>
      <c r="B546" s="2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5.75" customHeight="1">
      <c r="A547" s="2"/>
      <c r="B547" s="2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5.75" customHeight="1">
      <c r="A548" s="2"/>
      <c r="B548" s="2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5.75" customHeight="1">
      <c r="A549" s="2"/>
      <c r="B549" s="2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5.75" customHeight="1">
      <c r="A550" s="2"/>
      <c r="B550" s="2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5.75" customHeight="1">
      <c r="A551" s="2"/>
      <c r="B551" s="2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5.75" customHeight="1">
      <c r="A552" s="2"/>
      <c r="B552" s="2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5.75" customHeight="1">
      <c r="A553" s="2"/>
      <c r="B553" s="2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5.75" customHeight="1">
      <c r="A554" s="2"/>
      <c r="B554" s="2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5.75" customHeight="1">
      <c r="A555" s="2"/>
      <c r="B555" s="2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5.75" customHeight="1">
      <c r="A556" s="2"/>
      <c r="B556" s="2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5.75" customHeight="1">
      <c r="A557" s="2"/>
      <c r="B557" s="2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5.75" customHeight="1">
      <c r="A558" s="2"/>
      <c r="B558" s="2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5.75" customHeight="1">
      <c r="A559" s="2"/>
      <c r="B559" s="2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5.75" customHeight="1">
      <c r="A560" s="2"/>
      <c r="B560" s="2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5.75" customHeight="1">
      <c r="A561" s="2"/>
      <c r="B561" s="2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5.75" customHeight="1">
      <c r="A562" s="2"/>
      <c r="B562" s="2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5.75" customHeight="1">
      <c r="A563" s="2"/>
      <c r="B563" s="2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5.75" customHeight="1">
      <c r="A564" s="2"/>
      <c r="B564" s="2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5.75" customHeight="1">
      <c r="A565" s="2"/>
      <c r="B565" s="2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5.75" customHeight="1">
      <c r="A566" s="2"/>
      <c r="B566" s="2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5.75" customHeight="1">
      <c r="A567" s="2"/>
      <c r="B567" s="2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5.75" customHeight="1">
      <c r="A568" s="2"/>
      <c r="B568" s="2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5.75" customHeight="1">
      <c r="A569" s="2"/>
      <c r="B569" s="2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5.75" customHeight="1">
      <c r="A570" s="2"/>
      <c r="B570" s="2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5.75" customHeight="1">
      <c r="A571" s="2"/>
      <c r="B571" s="2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5.75" customHeight="1">
      <c r="A572" s="2"/>
      <c r="B572" s="2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5.75" customHeight="1">
      <c r="A573" s="2"/>
      <c r="B573" s="2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5.75" customHeight="1">
      <c r="A574" s="2"/>
      <c r="B574" s="2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5.75" customHeight="1">
      <c r="A575" s="2"/>
      <c r="B575" s="2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5.75" customHeight="1">
      <c r="A576" s="2"/>
      <c r="B576" s="2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5.75" customHeight="1">
      <c r="A577" s="2"/>
      <c r="B577" s="2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5.75" customHeight="1">
      <c r="A578" s="2"/>
      <c r="B578" s="2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5.75" customHeight="1">
      <c r="A579" s="2"/>
      <c r="B579" s="2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5.75" customHeight="1">
      <c r="A580" s="2"/>
      <c r="B580" s="2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5.75" customHeight="1">
      <c r="A581" s="2"/>
      <c r="B581" s="2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5.75" customHeight="1">
      <c r="A582" s="2"/>
      <c r="B582" s="2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5.75" customHeight="1">
      <c r="A583" s="2"/>
      <c r="B583" s="2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5.75" customHeight="1">
      <c r="A584" s="2"/>
      <c r="B584" s="2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5.75" customHeight="1">
      <c r="A585" s="2"/>
      <c r="B585" s="2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5.75" customHeight="1">
      <c r="A586" s="2"/>
      <c r="B586" s="2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5.75" customHeight="1">
      <c r="A587" s="2"/>
      <c r="B587" s="2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5.75" customHeight="1">
      <c r="A588" s="2"/>
      <c r="B588" s="2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5.75" customHeight="1">
      <c r="A589" s="2"/>
      <c r="B589" s="2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5.75" customHeight="1">
      <c r="A590" s="2"/>
      <c r="B590" s="2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5.75" customHeight="1">
      <c r="A591" s="2"/>
      <c r="B591" s="2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5.75" customHeight="1">
      <c r="A592" s="2"/>
      <c r="B592" s="2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5.75" customHeight="1">
      <c r="A593" s="2"/>
      <c r="B593" s="2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5.75" customHeight="1">
      <c r="A594" s="2"/>
      <c r="B594" s="2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5.75" customHeight="1">
      <c r="A595" s="2"/>
      <c r="B595" s="2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5.75" customHeight="1">
      <c r="A596" s="2"/>
      <c r="B596" s="2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5.75" customHeight="1">
      <c r="A597" s="2"/>
      <c r="B597" s="2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5.75" customHeight="1">
      <c r="A598" s="2"/>
      <c r="B598" s="2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5.75" customHeight="1">
      <c r="A599" s="2"/>
      <c r="B599" s="2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5.75" customHeight="1">
      <c r="A600" s="2"/>
      <c r="B600" s="2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5.75" customHeight="1">
      <c r="A601" s="2"/>
      <c r="B601" s="2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5.75" customHeight="1">
      <c r="A602" s="2"/>
      <c r="B602" s="2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5.75" customHeight="1">
      <c r="A603" s="2"/>
      <c r="B603" s="2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5.75" customHeight="1">
      <c r="A604" s="2"/>
      <c r="B604" s="2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5.75" customHeight="1">
      <c r="A605" s="2"/>
      <c r="B605" s="2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5.75" customHeight="1">
      <c r="A606" s="2"/>
      <c r="B606" s="2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5.75" customHeight="1">
      <c r="A607" s="2"/>
      <c r="B607" s="2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5.75" customHeight="1">
      <c r="A608" s="2"/>
      <c r="B608" s="2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5.75" customHeight="1">
      <c r="A609" s="2"/>
      <c r="B609" s="2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5.75" customHeight="1">
      <c r="A610" s="2"/>
      <c r="B610" s="2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5.75" customHeight="1">
      <c r="A611" s="2"/>
      <c r="B611" s="2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5.75" customHeight="1">
      <c r="A612" s="2"/>
      <c r="B612" s="2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5.75" customHeight="1">
      <c r="A613" s="2"/>
      <c r="B613" s="2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5.75" customHeight="1">
      <c r="A614" s="2"/>
      <c r="B614" s="2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5.75" customHeight="1">
      <c r="A615" s="2"/>
      <c r="B615" s="2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5.75" customHeight="1">
      <c r="A616" s="2"/>
      <c r="B616" s="2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5.75" customHeight="1">
      <c r="A617" s="2"/>
      <c r="B617" s="2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5.75" customHeight="1">
      <c r="A618" s="2"/>
      <c r="B618" s="2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5.75" customHeight="1">
      <c r="A619" s="2"/>
      <c r="B619" s="2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5.75" customHeight="1">
      <c r="A620" s="2"/>
      <c r="B620" s="2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5.75" customHeight="1">
      <c r="A621" s="2"/>
      <c r="B621" s="2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5.75" customHeight="1">
      <c r="A622" s="2"/>
      <c r="B622" s="2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5.75" customHeight="1">
      <c r="A623" s="2"/>
      <c r="B623" s="2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5.75" customHeight="1">
      <c r="A624" s="2"/>
      <c r="B624" s="2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5.75" customHeight="1">
      <c r="A625" s="2"/>
      <c r="B625" s="2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5.75" customHeight="1">
      <c r="A626" s="2"/>
      <c r="B626" s="2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5.75" customHeight="1">
      <c r="A627" s="2"/>
      <c r="B627" s="2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5.75" customHeight="1">
      <c r="A628" s="2"/>
      <c r="B628" s="2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5.75" customHeight="1">
      <c r="A629" s="2"/>
      <c r="B629" s="2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5.75" customHeight="1">
      <c r="A630" s="2"/>
      <c r="B630" s="2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5.75" customHeight="1">
      <c r="A631" s="2"/>
      <c r="B631" s="2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5.75" customHeight="1">
      <c r="A632" s="2"/>
      <c r="B632" s="2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5.75" customHeight="1">
      <c r="A633" s="2"/>
      <c r="B633" s="2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5.75" customHeight="1">
      <c r="A634" s="2"/>
      <c r="B634" s="2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5.75" customHeight="1">
      <c r="A635" s="2"/>
      <c r="B635" s="2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5.75" customHeight="1">
      <c r="A636" s="2"/>
      <c r="B636" s="2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5.75" customHeight="1">
      <c r="A637" s="2"/>
      <c r="B637" s="2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5.75" customHeight="1">
      <c r="A638" s="2"/>
      <c r="B638" s="2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5.75" customHeight="1">
      <c r="A639" s="2"/>
      <c r="B639" s="2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5.75" customHeight="1">
      <c r="A640" s="2"/>
      <c r="B640" s="2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5.75" customHeight="1">
      <c r="A641" s="2"/>
      <c r="B641" s="2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5.75" customHeight="1">
      <c r="A642" s="2"/>
      <c r="B642" s="2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5.75" customHeight="1">
      <c r="A643" s="2"/>
      <c r="B643" s="2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5.75" customHeight="1">
      <c r="A644" s="2"/>
      <c r="B644" s="2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5.75" customHeight="1">
      <c r="A645" s="2"/>
      <c r="B645" s="2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5.75" customHeight="1">
      <c r="A646" s="2"/>
      <c r="B646" s="2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5.75" customHeight="1">
      <c r="A647" s="2"/>
      <c r="B647" s="2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5.75" customHeight="1">
      <c r="A648" s="2"/>
      <c r="B648" s="2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5.75" customHeight="1">
      <c r="A649" s="2"/>
      <c r="B649" s="2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5.75" customHeight="1">
      <c r="A650" s="2"/>
      <c r="B650" s="2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5.75" customHeight="1">
      <c r="A651" s="2"/>
      <c r="B651" s="2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5.75" customHeight="1">
      <c r="A652" s="2"/>
      <c r="B652" s="2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5.75" customHeight="1">
      <c r="A653" s="2"/>
      <c r="B653" s="2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5.75" customHeight="1">
      <c r="A654" s="2"/>
      <c r="B654" s="2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5.75" customHeight="1">
      <c r="A655" s="2"/>
      <c r="B655" s="2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5.75" customHeight="1">
      <c r="A656" s="2"/>
      <c r="B656" s="2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5.75" customHeight="1">
      <c r="A657" s="2"/>
      <c r="B657" s="2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5.75" customHeight="1">
      <c r="A658" s="2"/>
      <c r="B658" s="2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5.75" customHeight="1">
      <c r="A659" s="2"/>
      <c r="B659" s="2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5.75" customHeight="1">
      <c r="A660" s="2"/>
      <c r="B660" s="2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5.75" customHeight="1">
      <c r="A661" s="2"/>
      <c r="B661" s="2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5.75" customHeight="1">
      <c r="A662" s="2"/>
      <c r="B662" s="2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5.75" customHeight="1">
      <c r="A663" s="2"/>
      <c r="B663" s="2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5.75" customHeight="1">
      <c r="A664" s="2"/>
      <c r="B664" s="2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5.75" customHeight="1">
      <c r="A665" s="2"/>
      <c r="B665" s="2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5.75" customHeight="1">
      <c r="A666" s="2"/>
      <c r="B666" s="2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5.75" customHeight="1">
      <c r="A667" s="2"/>
      <c r="B667" s="2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5.75" customHeight="1">
      <c r="A668" s="2"/>
      <c r="B668" s="2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5.75" customHeight="1">
      <c r="A669" s="2"/>
      <c r="B669" s="2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5.75" customHeight="1">
      <c r="A670" s="2"/>
      <c r="B670" s="2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5.75" customHeight="1">
      <c r="A671" s="2"/>
      <c r="B671" s="2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5.75" customHeight="1">
      <c r="A672" s="2"/>
      <c r="B672" s="2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5.75" customHeight="1">
      <c r="A673" s="2"/>
      <c r="B673" s="2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5.75" customHeight="1">
      <c r="A674" s="2"/>
      <c r="B674" s="2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5.75" customHeight="1">
      <c r="A675" s="2"/>
      <c r="B675" s="2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5.75" customHeight="1">
      <c r="A676" s="2"/>
      <c r="B676" s="2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5.75" customHeight="1">
      <c r="A677" s="2"/>
      <c r="B677" s="2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5.75" customHeight="1">
      <c r="A678" s="2"/>
      <c r="B678" s="2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5.75" customHeight="1">
      <c r="A679" s="2"/>
      <c r="B679" s="2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5.75" customHeight="1">
      <c r="A680" s="2"/>
      <c r="B680" s="2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5.75" customHeight="1">
      <c r="A681" s="2"/>
      <c r="B681" s="2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5.75" customHeight="1">
      <c r="A682" s="2"/>
      <c r="B682" s="2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5.75" customHeight="1">
      <c r="A683" s="2"/>
      <c r="B683" s="2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5.75" customHeight="1">
      <c r="A684" s="2"/>
      <c r="B684" s="2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5.75" customHeight="1">
      <c r="A685" s="2"/>
      <c r="B685" s="2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5.75" customHeight="1">
      <c r="A686" s="2"/>
      <c r="B686" s="2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5.75" customHeight="1">
      <c r="A687" s="2"/>
      <c r="B687" s="2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5.75" customHeight="1">
      <c r="A688" s="2"/>
      <c r="B688" s="2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5.75" customHeight="1">
      <c r="A689" s="2"/>
      <c r="B689" s="2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5.75" customHeight="1">
      <c r="A690" s="2"/>
      <c r="B690" s="2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5.75" customHeight="1">
      <c r="A691" s="2"/>
      <c r="B691" s="2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5.75" customHeight="1">
      <c r="A692" s="2"/>
      <c r="B692" s="2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5.75" customHeight="1">
      <c r="A693" s="2"/>
      <c r="B693" s="2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5.75" customHeight="1">
      <c r="A694" s="2"/>
      <c r="B694" s="2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5.75" customHeight="1">
      <c r="A695" s="2"/>
      <c r="B695" s="2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5.75" customHeight="1">
      <c r="A696" s="2"/>
      <c r="B696" s="2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5.75" customHeight="1">
      <c r="A697" s="2"/>
      <c r="B697" s="2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5.75" customHeight="1">
      <c r="A698" s="2"/>
      <c r="B698" s="2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5.75" customHeight="1">
      <c r="A699" s="2"/>
      <c r="B699" s="2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5.75" customHeight="1">
      <c r="A700" s="2"/>
      <c r="B700" s="2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5.75" customHeight="1">
      <c r="A701" s="2"/>
      <c r="B701" s="2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5.75" customHeight="1">
      <c r="A702" s="2"/>
      <c r="B702" s="2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5.75" customHeight="1">
      <c r="A703" s="2"/>
      <c r="B703" s="2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5.75" customHeight="1">
      <c r="A704" s="2"/>
      <c r="B704" s="2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5.75" customHeight="1">
      <c r="A705" s="2"/>
      <c r="B705" s="2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5.75" customHeight="1">
      <c r="A706" s="2"/>
      <c r="B706" s="2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5.75" customHeight="1">
      <c r="A707" s="2"/>
      <c r="B707" s="2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5.75" customHeight="1">
      <c r="A708" s="2"/>
      <c r="B708" s="2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5.75" customHeight="1">
      <c r="A709" s="2"/>
      <c r="B709" s="2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5.75" customHeight="1">
      <c r="A710" s="2"/>
      <c r="B710" s="2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5.75" customHeight="1">
      <c r="A711" s="2"/>
      <c r="B711" s="2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5.75" customHeight="1">
      <c r="A712" s="2"/>
      <c r="B712" s="2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5.75" customHeight="1">
      <c r="A713" s="2"/>
      <c r="B713" s="2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5.75" customHeight="1">
      <c r="A714" s="2"/>
      <c r="B714" s="2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5.75" customHeight="1">
      <c r="A715" s="2"/>
      <c r="B715" s="2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5.75" customHeight="1">
      <c r="A716" s="2"/>
      <c r="B716" s="2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5.75" customHeight="1">
      <c r="A717" s="2"/>
      <c r="B717" s="2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5.75" customHeight="1">
      <c r="A718" s="2"/>
      <c r="B718" s="2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5.75" customHeight="1">
      <c r="A719" s="2"/>
      <c r="B719" s="2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5.75" customHeight="1">
      <c r="A720" s="2"/>
      <c r="B720" s="2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5.75" customHeight="1">
      <c r="A721" s="2"/>
      <c r="B721" s="2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5.75" customHeight="1">
      <c r="A722" s="2"/>
      <c r="B722" s="2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5.75" customHeight="1">
      <c r="A723" s="2"/>
      <c r="B723" s="2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5.75" customHeight="1">
      <c r="A724" s="2"/>
      <c r="B724" s="2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5.75" customHeight="1">
      <c r="A725" s="2"/>
      <c r="B725" s="2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5.75" customHeight="1">
      <c r="A726" s="2"/>
      <c r="B726" s="2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5.75" customHeight="1">
      <c r="A727" s="2"/>
      <c r="B727" s="2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5.75" customHeight="1">
      <c r="A728" s="2"/>
      <c r="B728" s="2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5.75" customHeight="1">
      <c r="A729" s="2"/>
      <c r="B729" s="2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5.75" customHeight="1">
      <c r="A730" s="2"/>
      <c r="B730" s="2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5.75" customHeight="1">
      <c r="A731" s="2"/>
      <c r="B731" s="2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5.75" customHeight="1">
      <c r="A732" s="2"/>
      <c r="B732" s="2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5.75" customHeight="1">
      <c r="A733" s="2"/>
      <c r="B733" s="2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5.75" customHeight="1">
      <c r="A734" s="2"/>
      <c r="B734" s="2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5.75" customHeight="1">
      <c r="A735" s="2"/>
      <c r="B735" s="2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5.75" customHeight="1">
      <c r="A736" s="2"/>
      <c r="B736" s="2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5.75" customHeight="1">
      <c r="A737" s="2"/>
      <c r="B737" s="2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5.75" customHeight="1">
      <c r="A738" s="2"/>
      <c r="B738" s="2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5.75" customHeight="1">
      <c r="A739" s="2"/>
      <c r="B739" s="2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5.75" customHeight="1">
      <c r="A740" s="2"/>
      <c r="B740" s="2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5.75" customHeight="1">
      <c r="A741" s="2"/>
      <c r="B741" s="2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5.75" customHeight="1">
      <c r="A742" s="2"/>
      <c r="B742" s="2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5.75" customHeight="1">
      <c r="A743" s="2"/>
      <c r="B743" s="2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5.75" customHeight="1">
      <c r="A744" s="2"/>
      <c r="B744" s="2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5.75" customHeight="1">
      <c r="A745" s="2"/>
      <c r="B745" s="2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5.75" customHeight="1">
      <c r="A746" s="2"/>
      <c r="B746" s="2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5.75" customHeight="1">
      <c r="A747" s="2"/>
      <c r="B747" s="2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5.75" customHeight="1">
      <c r="A748" s="2"/>
      <c r="B748" s="2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5.75" customHeight="1">
      <c r="A749" s="2"/>
      <c r="B749" s="2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5.75" customHeight="1">
      <c r="A750" s="2"/>
      <c r="B750" s="2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5.75" customHeight="1">
      <c r="A751" s="2"/>
      <c r="B751" s="2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5.75" customHeight="1">
      <c r="A752" s="2"/>
      <c r="B752" s="2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5.75" customHeight="1">
      <c r="A753" s="2"/>
      <c r="B753" s="2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5.75" customHeight="1">
      <c r="A754" s="2"/>
      <c r="B754" s="2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5.75" customHeight="1">
      <c r="A755" s="2"/>
      <c r="B755" s="2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5.75" customHeight="1">
      <c r="A756" s="2"/>
      <c r="B756" s="2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5.75" customHeight="1">
      <c r="A757" s="2"/>
      <c r="B757" s="2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5.75" customHeight="1">
      <c r="A758" s="2"/>
      <c r="B758" s="2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5.75" customHeight="1">
      <c r="A759" s="2"/>
      <c r="B759" s="2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5.75" customHeight="1">
      <c r="A760" s="2"/>
      <c r="B760" s="2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5.75" customHeight="1">
      <c r="A761" s="2"/>
      <c r="B761" s="2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5.75" customHeight="1">
      <c r="A762" s="2"/>
      <c r="B762" s="2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5.75" customHeight="1">
      <c r="A763" s="2"/>
      <c r="B763" s="2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5.75" customHeight="1">
      <c r="A764" s="2"/>
      <c r="B764" s="2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5.75" customHeight="1">
      <c r="A765" s="2"/>
      <c r="B765" s="2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5.75" customHeight="1">
      <c r="A766" s="2"/>
      <c r="B766" s="2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5.75" customHeight="1">
      <c r="A767" s="2"/>
      <c r="B767" s="2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5.75" customHeight="1">
      <c r="A768" s="2"/>
      <c r="B768" s="2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5.75" customHeight="1">
      <c r="A769" s="2"/>
      <c r="B769" s="2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5.75" customHeight="1">
      <c r="A770" s="2"/>
      <c r="B770" s="2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5.75" customHeight="1">
      <c r="A771" s="2"/>
      <c r="B771" s="2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5.75" customHeight="1">
      <c r="A772" s="2"/>
      <c r="B772" s="2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5.75" customHeight="1">
      <c r="A773" s="2"/>
      <c r="B773" s="2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5.75" customHeight="1">
      <c r="A774" s="2"/>
      <c r="B774" s="2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5.75" customHeight="1">
      <c r="A775" s="2"/>
      <c r="B775" s="2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5.75" customHeight="1">
      <c r="A776" s="2"/>
      <c r="B776" s="2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5.75" customHeight="1">
      <c r="A777" s="2"/>
      <c r="B777" s="2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5.75" customHeight="1">
      <c r="A778" s="2"/>
      <c r="B778" s="2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5.75" customHeight="1">
      <c r="A779" s="2"/>
      <c r="B779" s="2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5.75" customHeight="1">
      <c r="A780" s="2"/>
      <c r="B780" s="2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5.75" customHeight="1">
      <c r="A781" s="2"/>
      <c r="B781" s="2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5.75" customHeight="1">
      <c r="A782" s="2"/>
      <c r="B782" s="2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5.75" customHeight="1">
      <c r="A783" s="2"/>
      <c r="B783" s="2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5.75" customHeight="1">
      <c r="A784" s="2"/>
      <c r="B784" s="2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5.75" customHeight="1">
      <c r="A785" s="2"/>
      <c r="B785" s="2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5.75" customHeight="1">
      <c r="A786" s="2"/>
      <c r="B786" s="2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5.75" customHeight="1">
      <c r="A787" s="2"/>
      <c r="B787" s="2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5.75" customHeight="1">
      <c r="A788" s="2"/>
      <c r="B788" s="2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5.75" customHeight="1">
      <c r="A789" s="2"/>
      <c r="B789" s="2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5.75" customHeight="1">
      <c r="A790" s="2"/>
      <c r="B790" s="2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5.75" customHeight="1">
      <c r="A791" s="2"/>
      <c r="B791" s="2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5.75" customHeight="1">
      <c r="A792" s="2"/>
      <c r="B792" s="2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5.75" customHeight="1">
      <c r="A793" s="2"/>
      <c r="B793" s="2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5.75" customHeight="1">
      <c r="A794" s="2"/>
      <c r="B794" s="2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5.75" customHeight="1">
      <c r="A795" s="2"/>
      <c r="B795" s="2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5.75" customHeight="1">
      <c r="A796" s="2"/>
      <c r="B796" s="2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5.75" customHeight="1">
      <c r="A797" s="2"/>
      <c r="B797" s="2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5.75" customHeight="1">
      <c r="A798" s="2"/>
      <c r="B798" s="2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5.75" customHeight="1">
      <c r="A799" s="2"/>
      <c r="B799" s="2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5.75" customHeight="1">
      <c r="A800" s="2"/>
      <c r="B800" s="2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5.75" customHeight="1">
      <c r="A801" s="2"/>
      <c r="B801" s="2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5.75" customHeight="1">
      <c r="A802" s="2"/>
      <c r="B802" s="2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5.75" customHeight="1">
      <c r="A803" s="2"/>
      <c r="B803" s="2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5.75" customHeight="1">
      <c r="A804" s="2"/>
      <c r="B804" s="2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5.75" customHeight="1">
      <c r="A805" s="2"/>
      <c r="B805" s="2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5.75" customHeight="1">
      <c r="A806" s="2"/>
      <c r="B806" s="2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5.75" customHeight="1">
      <c r="A807" s="2"/>
      <c r="B807" s="2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5.75" customHeight="1">
      <c r="A808" s="2"/>
      <c r="B808" s="2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5.75" customHeight="1">
      <c r="A809" s="2"/>
      <c r="B809" s="2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5.75" customHeight="1">
      <c r="A810" s="2"/>
      <c r="B810" s="2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5.75" customHeight="1">
      <c r="A811" s="2"/>
      <c r="B811" s="2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5.75" customHeight="1">
      <c r="A812" s="2"/>
      <c r="B812" s="2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5.75" customHeight="1">
      <c r="A813" s="2"/>
      <c r="B813" s="2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5.75" customHeight="1">
      <c r="A814" s="2"/>
      <c r="B814" s="2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5.75" customHeight="1">
      <c r="A815" s="2"/>
      <c r="B815" s="2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5.75" customHeight="1">
      <c r="A816" s="2"/>
      <c r="B816" s="2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5.75" customHeight="1">
      <c r="A817" s="2"/>
      <c r="B817" s="2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5.75" customHeight="1">
      <c r="A818" s="2"/>
      <c r="B818" s="2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5.75" customHeight="1">
      <c r="A819" s="2"/>
      <c r="B819" s="2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5.75" customHeight="1">
      <c r="A820" s="2"/>
      <c r="B820" s="2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5.75" customHeight="1">
      <c r="A821" s="2"/>
      <c r="B821" s="2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5.75" customHeight="1">
      <c r="A822" s="2"/>
      <c r="B822" s="2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5.75" customHeight="1">
      <c r="A823" s="2"/>
      <c r="B823" s="2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5.75" customHeight="1">
      <c r="A824" s="2"/>
      <c r="B824" s="2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5.75" customHeight="1">
      <c r="A825" s="2"/>
      <c r="B825" s="2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5.75" customHeight="1">
      <c r="A826" s="2"/>
      <c r="B826" s="2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5.75" customHeight="1">
      <c r="A827" s="2"/>
      <c r="B827" s="2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5.75" customHeight="1">
      <c r="A828" s="2"/>
      <c r="B828" s="2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5.75" customHeight="1">
      <c r="A829" s="2"/>
      <c r="B829" s="2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5.75" customHeight="1">
      <c r="A830" s="2"/>
      <c r="B830" s="2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5.75" customHeight="1">
      <c r="A831" s="2"/>
      <c r="B831" s="2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5.75" customHeight="1">
      <c r="A832" s="2"/>
      <c r="B832" s="2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5.75" customHeight="1">
      <c r="A833" s="2"/>
      <c r="B833" s="2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5.75" customHeight="1">
      <c r="A834" s="2"/>
      <c r="B834" s="2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5.75" customHeight="1">
      <c r="A835" s="2"/>
      <c r="B835" s="2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5.75" customHeight="1">
      <c r="A836" s="2"/>
      <c r="B836" s="2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5.75" customHeight="1">
      <c r="A837" s="2"/>
      <c r="B837" s="2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5.75" customHeight="1">
      <c r="A838" s="2"/>
      <c r="B838" s="2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5.75" customHeight="1">
      <c r="A839" s="2"/>
      <c r="B839" s="2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5.75" customHeight="1">
      <c r="A840" s="2"/>
      <c r="B840" s="2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5.75" customHeight="1">
      <c r="A841" s="2"/>
      <c r="B841" s="2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5.75" customHeight="1">
      <c r="A842" s="2"/>
      <c r="B842" s="2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5.75" customHeight="1">
      <c r="A843" s="2"/>
      <c r="B843" s="2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5.75" customHeight="1">
      <c r="A844" s="2"/>
      <c r="B844" s="2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5.75" customHeight="1">
      <c r="A845" s="2"/>
      <c r="B845" s="2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5.75" customHeight="1">
      <c r="A846" s="2"/>
      <c r="B846" s="2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5.75" customHeight="1">
      <c r="A847" s="2"/>
      <c r="B847" s="2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5.75" customHeight="1">
      <c r="A848" s="2"/>
      <c r="B848" s="2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5.75" customHeight="1">
      <c r="A849" s="2"/>
      <c r="B849" s="2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5.75" customHeight="1">
      <c r="A850" s="2"/>
      <c r="B850" s="2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5.75" customHeight="1">
      <c r="A851" s="2"/>
      <c r="B851" s="2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5.75" customHeight="1">
      <c r="A852" s="2"/>
      <c r="B852" s="2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5.75" customHeight="1">
      <c r="A853" s="2"/>
      <c r="B853" s="2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5.75" customHeight="1">
      <c r="A854" s="2"/>
      <c r="B854" s="2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5.75" customHeight="1">
      <c r="A855" s="2"/>
      <c r="B855" s="2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5.75" customHeight="1">
      <c r="A856" s="2"/>
      <c r="B856" s="2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5.75" customHeight="1">
      <c r="A857" s="2"/>
      <c r="B857" s="2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5.75" customHeight="1">
      <c r="A858" s="2"/>
      <c r="B858" s="2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5.75" customHeight="1">
      <c r="A859" s="2"/>
      <c r="B859" s="2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5.75" customHeight="1">
      <c r="A860" s="2"/>
      <c r="B860" s="2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5.75" customHeight="1">
      <c r="A861" s="2"/>
      <c r="B861" s="2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5.75" customHeight="1">
      <c r="A862" s="2"/>
      <c r="B862" s="2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5.75" customHeight="1">
      <c r="A863" s="2"/>
      <c r="B863" s="2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5.75" customHeight="1">
      <c r="A864" s="2"/>
      <c r="B864" s="2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5.75" customHeight="1">
      <c r="A865" s="2"/>
      <c r="B865" s="2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5.75" customHeight="1">
      <c r="A866" s="2"/>
      <c r="B866" s="2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5.75" customHeight="1">
      <c r="A867" s="2"/>
      <c r="B867" s="2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5.75" customHeight="1">
      <c r="A868" s="2"/>
      <c r="B868" s="2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5.75" customHeight="1">
      <c r="A869" s="2"/>
      <c r="B869" s="2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5.75" customHeight="1">
      <c r="A870" s="2"/>
      <c r="B870" s="2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5.75" customHeight="1">
      <c r="A871" s="2"/>
      <c r="B871" s="2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5.75" customHeight="1">
      <c r="A872" s="2"/>
      <c r="B872" s="2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5.75" customHeight="1">
      <c r="A873" s="2"/>
      <c r="B873" s="2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5.75" customHeight="1">
      <c r="A874" s="2"/>
      <c r="B874" s="2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5.75" customHeight="1">
      <c r="A875" s="2"/>
      <c r="B875" s="2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5.75" customHeight="1">
      <c r="A876" s="2"/>
      <c r="B876" s="2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5.75" customHeight="1">
      <c r="A877" s="2"/>
      <c r="B877" s="2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5.75" customHeight="1">
      <c r="A878" s="2"/>
      <c r="B878" s="2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5.75" customHeight="1">
      <c r="A879" s="2"/>
      <c r="B879" s="2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5.75" customHeight="1">
      <c r="A880" s="2"/>
      <c r="B880" s="2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5.75" customHeight="1">
      <c r="A881" s="2"/>
      <c r="B881" s="2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5.75" customHeight="1">
      <c r="A882" s="2"/>
      <c r="B882" s="2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5.75" customHeight="1">
      <c r="A883" s="2"/>
      <c r="B883" s="2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5.75" customHeight="1">
      <c r="A884" s="2"/>
      <c r="B884" s="2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5.75" customHeight="1">
      <c r="A885" s="2"/>
      <c r="B885" s="2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5.75" customHeight="1">
      <c r="A886" s="2"/>
      <c r="B886" s="2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5.75" customHeight="1">
      <c r="A887" s="2"/>
      <c r="B887" s="2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5.75" customHeight="1">
      <c r="A888" s="2"/>
      <c r="B888" s="2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5.75" customHeight="1">
      <c r="A889" s="2"/>
      <c r="B889" s="2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5.75" customHeight="1">
      <c r="A890" s="2"/>
      <c r="B890" s="2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5.75" customHeight="1">
      <c r="A891" s="2"/>
      <c r="B891" s="2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5.75" customHeight="1">
      <c r="A892" s="2"/>
      <c r="B892" s="2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5.75" customHeight="1">
      <c r="A893" s="2"/>
      <c r="B893" s="2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5.75" customHeight="1">
      <c r="A894" s="2"/>
      <c r="B894" s="2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5.75" customHeight="1">
      <c r="A895" s="2"/>
      <c r="B895" s="2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5.75" customHeight="1">
      <c r="A896" s="2"/>
      <c r="B896" s="2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5.75" customHeight="1">
      <c r="A897" s="2"/>
      <c r="B897" s="2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5.75" customHeight="1">
      <c r="A898" s="2"/>
      <c r="B898" s="2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5.75" customHeight="1">
      <c r="A899" s="2"/>
      <c r="B899" s="2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5.75" customHeight="1">
      <c r="A900" s="2"/>
      <c r="B900" s="2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5.75" customHeight="1">
      <c r="A901" s="2"/>
      <c r="B901" s="2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5.75" customHeight="1">
      <c r="A902" s="2"/>
      <c r="B902" s="2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5.75" customHeight="1">
      <c r="A903" s="2"/>
      <c r="B903" s="2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5.75" customHeight="1">
      <c r="A904" s="2"/>
      <c r="B904" s="2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5.75" customHeight="1">
      <c r="A905" s="2"/>
      <c r="B905" s="2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5.75" customHeight="1">
      <c r="A906" s="2"/>
      <c r="B906" s="2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5.75" customHeight="1">
      <c r="A907" s="2"/>
      <c r="B907" s="2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5.75" customHeight="1">
      <c r="A908" s="2"/>
      <c r="B908" s="2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5.75" customHeight="1">
      <c r="A909" s="2"/>
      <c r="B909" s="2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5.75" customHeight="1">
      <c r="A910" s="2"/>
      <c r="B910" s="2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5.75" customHeight="1">
      <c r="A911" s="2"/>
      <c r="B911" s="2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5.75" customHeight="1">
      <c r="A912" s="2"/>
      <c r="B912" s="2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5.75" customHeight="1">
      <c r="A913" s="2"/>
      <c r="B913" s="2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5.75" customHeight="1">
      <c r="A914" s="2"/>
      <c r="B914" s="2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5.75" customHeight="1">
      <c r="A915" s="2"/>
      <c r="B915" s="2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5.75" customHeight="1">
      <c r="A916" s="2"/>
      <c r="B916" s="2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5.75" customHeight="1">
      <c r="A917" s="2"/>
      <c r="B917" s="2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5.75" customHeight="1">
      <c r="A918" s="2"/>
      <c r="B918" s="2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5.75" customHeight="1">
      <c r="A919" s="2"/>
      <c r="B919" s="2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5.75" customHeight="1">
      <c r="A920" s="2"/>
      <c r="B920" s="2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5.75" customHeight="1">
      <c r="A921" s="2"/>
      <c r="B921" s="2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5.75" customHeight="1">
      <c r="A922" s="2"/>
      <c r="B922" s="2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5.75" customHeight="1">
      <c r="A923" s="2"/>
      <c r="B923" s="2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5.75" customHeight="1">
      <c r="A924" s="2"/>
      <c r="B924" s="2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5.75" customHeight="1">
      <c r="A925" s="2"/>
      <c r="B925" s="2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5.75" customHeight="1">
      <c r="A926" s="2"/>
      <c r="B926" s="2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5.75" customHeight="1">
      <c r="A927" s="2"/>
      <c r="B927" s="2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5.75" customHeight="1">
      <c r="A928" s="2"/>
      <c r="B928" s="2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5.75" customHeight="1">
      <c r="A929" s="2"/>
      <c r="B929" s="2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5.75" customHeight="1">
      <c r="A930" s="2"/>
      <c r="B930" s="2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5.75" customHeight="1">
      <c r="A931" s="2"/>
      <c r="B931" s="2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5.75" customHeight="1">
      <c r="A932" s="2"/>
      <c r="B932" s="2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5.75" customHeight="1">
      <c r="A933" s="2"/>
      <c r="B933" s="2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5.75" customHeight="1">
      <c r="A934" s="2"/>
      <c r="B934" s="2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5.75" customHeight="1">
      <c r="A935" s="2"/>
      <c r="B935" s="2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5.75" customHeight="1">
      <c r="A936" s="2"/>
      <c r="B936" s="2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5.75" customHeight="1">
      <c r="A937" s="2"/>
      <c r="B937" s="2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5.75" customHeight="1">
      <c r="A938" s="2"/>
      <c r="B938" s="2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5.75" customHeight="1">
      <c r="A939" s="2"/>
      <c r="B939" s="2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5.75" customHeight="1">
      <c r="A940" s="2"/>
      <c r="B940" s="2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5.75" customHeight="1">
      <c r="A941" s="2"/>
      <c r="B941" s="2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5.75" customHeight="1">
      <c r="A942" s="2"/>
      <c r="B942" s="2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5.75" customHeight="1">
      <c r="A943" s="2"/>
      <c r="B943" s="2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5.75" customHeight="1">
      <c r="A944" s="2"/>
      <c r="B944" s="2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5.75" customHeight="1">
      <c r="A945" s="2"/>
      <c r="B945" s="2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5.75" customHeight="1">
      <c r="A946" s="2"/>
      <c r="B946" s="2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5.75" customHeight="1">
      <c r="A947" s="2"/>
      <c r="B947" s="2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5.75" customHeight="1">
      <c r="A948" s="2"/>
      <c r="B948" s="2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5.75" customHeight="1">
      <c r="A949" s="2"/>
      <c r="B949" s="2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5.75" customHeight="1">
      <c r="A950" s="2"/>
      <c r="B950" s="2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5.75" customHeight="1">
      <c r="A951" s="2"/>
      <c r="B951" s="2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5.75" customHeight="1">
      <c r="A952" s="2"/>
      <c r="B952" s="2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5.75" customHeight="1">
      <c r="A953" s="2"/>
      <c r="B953" s="2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5.75" customHeight="1">
      <c r="A954" s="2"/>
      <c r="B954" s="2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5.75" customHeight="1">
      <c r="A955" s="2"/>
      <c r="B955" s="2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5.75" customHeight="1">
      <c r="A956" s="2"/>
      <c r="B956" s="2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5.75" customHeight="1">
      <c r="A957" s="2"/>
      <c r="B957" s="2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5.75" customHeight="1">
      <c r="A958" s="2"/>
      <c r="B958" s="2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5.75" customHeight="1">
      <c r="A959" s="2"/>
      <c r="B959" s="2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5.75" customHeight="1">
      <c r="A960" s="2"/>
      <c r="B960" s="2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5.75" customHeight="1">
      <c r="A961" s="2"/>
      <c r="B961" s="2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5.75" customHeight="1">
      <c r="A962" s="2"/>
      <c r="B962" s="2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5.75" customHeight="1">
      <c r="A963" s="2"/>
      <c r="B963" s="2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5.75" customHeight="1">
      <c r="A964" s="2"/>
      <c r="B964" s="2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5.75" customHeight="1">
      <c r="A965" s="2"/>
      <c r="B965" s="2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5.75" customHeight="1">
      <c r="A966" s="2"/>
      <c r="B966" s="2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5.75" customHeight="1">
      <c r="A967" s="2"/>
      <c r="B967" s="2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5.75" customHeight="1">
      <c r="A968" s="2"/>
      <c r="B968" s="2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5.75" customHeight="1">
      <c r="A969" s="2"/>
      <c r="B969" s="2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5.75" customHeight="1">
      <c r="A970" s="2"/>
      <c r="B970" s="2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5.75" customHeight="1">
      <c r="A971" s="2"/>
      <c r="B971" s="2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5.75" customHeight="1">
      <c r="A972" s="2"/>
      <c r="B972" s="2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5.75" customHeight="1">
      <c r="A973" s="2"/>
      <c r="B973" s="2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5.75" customHeight="1">
      <c r="A974" s="2"/>
      <c r="B974" s="2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5.75" customHeight="1">
      <c r="A975" s="2"/>
      <c r="B975" s="2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5.75" customHeight="1">
      <c r="A976" s="2"/>
      <c r="B976" s="2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5.75" customHeight="1">
      <c r="A977" s="2"/>
      <c r="B977" s="2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5.75" customHeight="1">
      <c r="A978" s="2"/>
      <c r="B978" s="2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5.75" customHeight="1">
      <c r="A979" s="2"/>
      <c r="B979" s="2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5.75" customHeight="1">
      <c r="A980" s="2"/>
      <c r="B980" s="2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5.75" customHeight="1">
      <c r="A981" s="2"/>
      <c r="B981" s="2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5.75" customHeight="1">
      <c r="A982" s="2"/>
      <c r="B982" s="2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5.75" customHeight="1">
      <c r="A983" s="2"/>
      <c r="B983" s="2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5.75" customHeight="1">
      <c r="A984" s="2"/>
      <c r="B984" s="2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5.75" customHeight="1">
      <c r="A985" s="2"/>
      <c r="B985" s="2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5.75" customHeight="1">
      <c r="A986" s="2"/>
      <c r="B986" s="2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5.75" customHeight="1">
      <c r="A987" s="2"/>
      <c r="B987" s="2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5.75" customHeight="1">
      <c r="A988" s="2"/>
      <c r="B988" s="2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5.75" customHeight="1">
      <c r="A989" s="2"/>
      <c r="B989" s="2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5.75" customHeight="1">
      <c r="A990" s="2"/>
      <c r="B990" s="2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5.75" customHeight="1">
      <c r="A991" s="2"/>
      <c r="B991" s="2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5.75" customHeight="1">
      <c r="A992" s="2"/>
      <c r="B992" s="2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5.75" customHeight="1">
      <c r="A993" s="2"/>
      <c r="B993" s="2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5.75" customHeight="1">
      <c r="A994" s="2"/>
      <c r="B994" s="2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5.75" customHeight="1">
      <c r="A995" s="2"/>
      <c r="B995" s="2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5.75" customHeight="1">
      <c r="A996" s="2"/>
      <c r="B996" s="2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5.75" customHeight="1">
      <c r="A997" s="2"/>
      <c r="B997" s="2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5.75" customHeight="1">
      <c r="A998" s="2"/>
      <c r="B998" s="2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5.75" customHeight="1">
      <c r="A999" s="2"/>
      <c r="B999" s="2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5.75" customHeight="1">
      <c r="A1000" s="2"/>
      <c r="B1000" s="2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5">
    <mergeCell ref="N2:U2"/>
    <mergeCell ref="A6:K6"/>
    <mergeCell ref="A7:K7"/>
    <mergeCell ref="A8:K8"/>
    <mergeCell ref="A9:K9"/>
    <mergeCell ref="N9:Q9"/>
    <mergeCell ref="A10:K10"/>
    <mergeCell ref="B14:F14"/>
    <mergeCell ref="A19:F19"/>
    <mergeCell ref="A26:A28"/>
    <mergeCell ref="B26:B28"/>
    <mergeCell ref="C26:F26"/>
    <mergeCell ref="AA25:AF25"/>
    <mergeCell ref="G26:J26"/>
    <mergeCell ref="K26:N26"/>
    <mergeCell ref="O26:O27"/>
    <mergeCell ref="P26:P27"/>
    <mergeCell ref="AB26:AF26"/>
    <mergeCell ref="N10:Q10"/>
    <mergeCell ref="N11:Q11"/>
    <mergeCell ref="N12:Q12"/>
    <mergeCell ref="A14:A15"/>
    <mergeCell ref="AE15:AG15"/>
    <mergeCell ref="AE16:AF16"/>
    <mergeCell ref="AE17:AG1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2024-04-09T06:07:00Z</dcterms:created>
  <dc:creator>computer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1033-11.1.0.11698</vt:lpwstr>
  </property>
  <property fmtid="{D5CDD505-2E9C-101B-9397-08002B2CF9AE}" pid="3" name="ICV">
    <vt:lpwstr/>
  </property>
</Properties>
</file>